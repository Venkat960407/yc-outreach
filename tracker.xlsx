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  <sheet name="How to use" sheetId="3" state="visible" r:id="rId5"/>
  </sheets>
  <definedNames>
    <definedName function="false" hidden="true" localSheetId="0" name="_xlnm._FilterDatabase" vbProcedure="false">Tracker!$A$1:$V$21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<sst xmlns="http://schemas.openxmlformats.org/spreadsheetml/2006/main" count="351" uniqueCount="272">
  <si>
    <t xml:space="preserve">#</t>
  </si>
  <si>
    <t xml:space="preserve">Batch</t>
  </si>
  <si>
    <t xml:space="preserve">Company</t>
  </si>
  <si>
    <t xml:space="preserve">Tier</t>
  </si>
  <si>
    <t xml:space="preserve">Contact</t>
  </si>
  <si>
    <t xml:space="preserve">Role</t>
  </si>
  <si>
    <t xml:space="preserve">Email</t>
  </si>
  <si>
    <t xml:space="preserve">Email status</t>
  </si>
  <si>
    <t xml:space="preserve">What they do</t>
  </si>
  <si>
    <t xml:space="preserve">Value item</t>
  </si>
  <si>
    <t xml:space="preserve">Build</t>
  </si>
  <si>
    <t xml:space="preserve">Proof used</t>
  </si>
  <si>
    <t xml:space="preserve">Subject</t>
  </si>
  <si>
    <t xml:space="preserve">Status</t>
  </si>
  <si>
    <t xml:space="preserve">Date sent</t>
  </si>
  <si>
    <t xml:space="preserve">Follow-up due</t>
  </si>
  <si>
    <t xml:space="preserve">Follow-up sent</t>
  </si>
  <si>
    <t xml:space="preserve">Response</t>
  </si>
  <si>
    <t xml:space="preserve">Notes</t>
  </si>
  <si>
    <t xml:space="preserve">Draft file</t>
  </si>
  <si>
    <t xml:space="preserve">Website</t>
  </si>
  <si>
    <t xml:space="preserve">YC page</t>
  </si>
  <si>
    <t xml:space="preserve">Theseus</t>
  </si>
  <si>
    <t xml:space="preserve">B</t>
  </si>
  <si>
    <t xml:space="preserve">Sacha Levy</t>
  </si>
  <si>
    <t xml:space="preserve">Co-founder &amp; CTO</t>
  </si>
  <si>
    <t xml:space="preserve">sacha@theseus.us</t>
  </si>
  <si>
    <t xml:space="preserve">guess (public: inbound@theseus.us)</t>
  </si>
  <si>
    <t xml:space="preserve">Camera-based drone navigation that works without GPS (Cyclops). Customers include US Special Forces.</t>
  </si>
  <si>
    <t xml:space="preserve">Site naming: the USSOCOM testimonial calls the product "VizNav" while the rest of the site says "Cyclops". Hero stats (1.1 km, 104 km, &lt;50 m) have no context on test conditions.</t>
  </si>
  <si>
    <t xml:space="preserve">VEX</t>
  </si>
  <si>
    <t xml:space="preserve">Small thing on the Cyclops page</t>
  </si>
  <si>
    <t xml:space="preserve">Ready to review</t>
  </si>
  <si>
    <t xml:space="preserve">Defense customer. Some roles may need US-person status (Venkat is US-born, so fine).</t>
  </si>
  <si>
    <t xml:space="preserve">companies/01-01-theseus.md</t>
  </si>
  <si>
    <t xml:space="preserve">https://theseus.us</t>
  </si>
  <si>
    <t xml:space="preserve">https://www.ycombinator.com/companies/theseus</t>
  </si>
  <si>
    <t xml:space="preserve">Polymath Robotics</t>
  </si>
  <si>
    <t xml:space="preserve">A</t>
  </si>
  <si>
    <t xml:space="preserve">Ilia Baranov</t>
  </si>
  <si>
    <t xml:space="preserve">ilia@polymathrobotics.com</t>
  </si>
  <si>
    <t xml:space="preserve">guess</t>
  </si>
  <si>
    <t xml:space="preserve">Autonomy software for industrial vehicles (tractors, mining trucks) controlled through a REST API. Free simulator called Caladan.</t>
  </si>
  <si>
    <t xml:space="preserve">BUILD: a Python behavior for the free Caladan sim (farm environment). Bonus: homepage browser tab shows "Autonomy &amp;amp; Safety" instead of "&amp;".</t>
  </si>
  <si>
    <t xml:space="preserve">Caladan Python behavior (farm env), e.g. waypoint row coverage with a simple PID heading controller</t>
  </si>
  <si>
    <t xml:space="preserve">Built a small behavior in Caladan</t>
  </si>
  <si>
    <t xml:space="preserve">Waiting on build</t>
  </si>
  <si>
    <t xml:space="preserve">Caladan is free and uses a REST API instead of ROS. Best build target in this batch.</t>
  </si>
  <si>
    <t xml:space="preserve">companies/01-02-polymath-robotics.md</t>
  </si>
  <si>
    <t xml:space="preserve">https://www.polymathrobotics.com</t>
  </si>
  <si>
    <t xml:space="preserve">https://www.ycombinator.com/companies/polymath-robotics</t>
  </si>
  <si>
    <t xml:space="preserve">Innate</t>
  </si>
  <si>
    <t xml:space="preserve">Vignesh Anand</t>
  </si>
  <si>
    <t xml:space="preserve">vignesh@innate.bot</t>
  </si>
  <si>
    <t xml:space="preserve">Personal AI robot (MARS, $995) you teach with code, language, and demonstrations. Open-source Innate OS plus a browser simulator.</t>
  </si>
  <si>
    <t xml:space="preserve">BUILD: a skill in Innate OS run in sim.innate.bot. Bonus: site says "Teach MARS a task with one example" in one section and "Teach with a few examples" in another.</t>
  </si>
  <si>
    <t xml:space="preserve">Innate OS skill in sim.innate.bot (github.com/innate-inc/innate-os)</t>
  </si>
  <si>
    <t xml:space="preserve">Made a MARS skill in your simulator</t>
  </si>
  <si>
    <t xml:space="preserve">Careers page says degrees don't matter. Strong fit.</t>
  </si>
  <si>
    <t xml:space="preserve">companies/01-03-innate.md</t>
  </si>
  <si>
    <t xml:space="preserve">https://innate.bot</t>
  </si>
  <si>
    <t xml:space="preserve">https://www.ycombinator.com/companies/innate</t>
  </si>
  <si>
    <t xml:space="preserve">Almond</t>
  </si>
  <si>
    <t xml:space="preserve">Saba Khalilnaji</t>
  </si>
  <si>
    <t xml:space="preserve">Co-founder &amp; CEO</t>
  </si>
  <si>
    <t xml:space="preserve">saba@almond.bot</t>
  </si>
  <si>
    <t xml:space="preserve">guess (public: hello@almond.bot)</t>
  </si>
  <si>
    <t xml:space="preserve">Axol, a dual-arm robot for physical AI ($9,499) with an open-source Python SDK, IK, and VR teleop.</t>
  </si>
  <si>
    <t xml:space="preserve">BUILD: small tool/example on the open-source Axol SDK (github.com/almond-bot/axol). Bonus: FAQ says two arms give "double the cycle time" of one arm, which reads like the opposite of what's meant (half the cycle time).</t>
  </si>
  <si>
    <t xml:space="preserve">Example/tool on the Axol Python SDK (no hardware needed), e.g. IK reachability visualizer</t>
  </si>
  <si>
    <t xml:space="preserve">Something small I built with the Axol SDK</t>
  </si>
  <si>
    <t xml:space="preserve">Hiring Founding Robotics SWE. Ships from SF.</t>
  </si>
  <si>
    <t xml:space="preserve">companies/01-04-almond.md</t>
  </si>
  <si>
    <t xml:space="preserve">https://almond.bot</t>
  </si>
  <si>
    <t xml:space="preserve">https://www.ycombinator.com/companies/almond</t>
  </si>
  <si>
    <t xml:space="preserve">MorphoAI</t>
  </si>
  <si>
    <t xml:space="preserve">Andrew Spielberg</t>
  </si>
  <si>
    <t xml:space="preserve">andrew@morpho.ai</t>
  </si>
  <si>
    <t xml:space="preserve">guess (public: hello@morpho.ai)</t>
  </si>
  <si>
    <t xml:space="preserve">AI tool that generates, checks, and refines manufacturable designs for robots and machines. Backed by a 2.5M GBP ARIA grant.</t>
  </si>
  <si>
    <t xml:space="preserve">BUILD: morpho.ai currently shows only the company name, no product description. Draft a one-page landing page from their YC launch description.</t>
  </si>
  <si>
    <t xml:space="preserve">Single-page landing page draft (HTML) from public YC launch copy</t>
  </si>
  <si>
    <t xml:space="preserve">Drafted a homepage for morpho.ai</t>
  </si>
  <si>
    <t xml:space="preserve">Hiring is London-based. Site is a near-empty Squarespace page.</t>
  </si>
  <si>
    <t xml:space="preserve">companies/01-05-morphoai.md</t>
  </si>
  <si>
    <t xml:space="preserve">https://morpho.ai</t>
  </si>
  <si>
    <t xml:space="preserve">https://www.ycombinator.com/companies/morphoai</t>
  </si>
  <si>
    <t xml:space="preserve">OS3</t>
  </si>
  <si>
    <t xml:space="preserve">Rishabh Chanana</t>
  </si>
  <si>
    <t xml:space="preserve">Founder</t>
  </si>
  <si>
    <t xml:space="preserve">rishabh@os3robotics.com</t>
  </si>
  <si>
    <t xml:space="preserve">Low-cost semi-humanoid robots (HALE 1.0). Developer units $14,995. First deployments in hotels.</t>
  </si>
  <si>
    <t xml:space="preserve">Developer units are $14,995 but the site lists no payload, reach, runtime, weight, or compute. Offer to draft a spec table. Also meta description says "hospitality laundry" while the page just says "Hospitality".</t>
  </si>
  <si>
    <t xml:space="preserve">Spec sheet idea for HALE developer units</t>
  </si>
  <si>
    <t xml:space="preserve">2-person team, very early. Contract mechanical role open.</t>
  </si>
  <si>
    <t xml:space="preserve">companies/01-06-os3.md</t>
  </si>
  <si>
    <t xml:space="preserve">https://os3robotics.com</t>
  </si>
  <si>
    <t xml:space="preserve">https://www.ycombinator.com/companies/os3</t>
  </si>
  <si>
    <t xml:space="preserve">Darwin</t>
  </si>
  <si>
    <t xml:space="preserve">C</t>
  </si>
  <si>
    <t xml:space="preserve">Sergio Charles</t>
  </si>
  <si>
    <t xml:space="preserve">Founder &amp; CEO</t>
  </si>
  <si>
    <t xml:space="preserve">sergio@darwinrobotics.ai</t>
  </si>
  <si>
    <t xml:space="preserve">General-purpose robots that learn by demonstration to assemble and maintain AI infrastructure. First deployments planned early 2027.</t>
  </si>
  <si>
    <t xml:space="preserve">The "See it work" button points to #work but there doesn't seem to be a section with that id (VERIFY: click it).</t>
  </si>
  <si>
    <t xml:space="preserve">"See it work" button on darwinrobotics.ai</t>
  </si>
  <si>
    <t xml:space="preserve">Weak value item. Verify the button before sending, or skip.</t>
  </si>
  <si>
    <t xml:space="preserve">companies/01-07-darwin.md</t>
  </si>
  <si>
    <t xml:space="preserve">https://darwinrobotics.ai</t>
  </si>
  <si>
    <t xml:space="preserve">https://www.ycombinator.com/companies/darwin</t>
  </si>
  <si>
    <t xml:space="preserve">Lightberry</t>
  </si>
  <si>
    <t xml:space="preserve">Stephan Koenigstorfer</t>
  </si>
  <si>
    <t xml:space="preserve">stephan@lightberry.com</t>
  </si>
  <si>
    <t xml:space="preserve">AI "social brain" for robots so they can listen, speak, and act. Runs on Unitree, Booster, Fourier humanoids. Robot named Lumi.</t>
  </si>
  <si>
    <t xml:space="preserve">Idea: use sound direction-of-arrival so the robot turns toward whoever is speaking. Venkat's HRTF engine is the reverse of that problem. Site note: homepage has one line about Lumi and no specs or details.</t>
  </si>
  <si>
    <t xml:space="preserve">AUDIO</t>
  </si>
  <si>
    <t xml:space="preserve">Spatial audio guy, interested in robots that listen</t>
  </si>
  <si>
    <t xml:space="preserve">Hiring Voice AI SWE. Good match for the audio project.</t>
  </si>
  <si>
    <t xml:space="preserve">companies/01-08-lightberry.md</t>
  </si>
  <si>
    <t xml:space="preserve">https://lightberry.com</t>
  </si>
  <si>
    <t xml:space="preserve">https://www.ycombinator.com/companies/lightberry</t>
  </si>
  <si>
    <t xml:space="preserve">Bucket Robotics</t>
  </si>
  <si>
    <t xml:space="preserve">Matt Puchalski</t>
  </si>
  <si>
    <t xml:space="preserve">matt@bucket.bot</t>
  </si>
  <si>
    <t xml:space="preserve">Defect detection for manufacturing: CAD files in, vision model out, runs on edge devices like Jetson Orin Nano.</t>
  </si>
  <si>
    <t xml:space="preserve">Homepage sets a large-image social card but has no preview image, so links shared on X/Slack/LinkedIn show up blank (VERIFY with a link preview checker like opengraph.xyz).</t>
  </si>
  <si>
    <t xml:space="preserve">Link previews for bucket.bot</t>
  </si>
  <si>
    <t xml:space="preserve">Hiring ML, full stack, forward deploy.</t>
  </si>
  <si>
    <t xml:space="preserve">companies/01-09-bucket-robotics.md</t>
  </si>
  <si>
    <t xml:space="preserve">https://bucket.bot</t>
  </si>
  <si>
    <t xml:space="preserve">https://www.ycombinator.com/companies/bucket-robotics</t>
  </si>
  <si>
    <t xml:space="preserve">Saphira AI</t>
  </si>
  <si>
    <t xml:space="preserve">Akshay Chalana</t>
  </si>
  <si>
    <t xml:space="preserve">akshay@saphira.ai</t>
  </si>
  <si>
    <t xml:space="preserve">guess (public: contact@saphira.ai)</t>
  </si>
  <si>
    <t xml:space="preserve">AI agents that help hardware and robot companies get safety certified (ISO 10218, ISO 26262, UL, CE).</t>
  </si>
  <si>
    <t xml:space="preserve">Customer quote from RobCo has no named speaker or title, which weakens it (VERIFY).</t>
  </si>
  <si>
    <t xml:space="preserve">Robotics student curious about safety certification</t>
  </si>
  <si>
    <t xml:space="preserve">Weaker fit. Lower priority.</t>
  </si>
  <si>
    <t xml:space="preserve">companies/01-10-saphira-ai.md</t>
  </si>
  <si>
    <t xml:space="preserve">https://saphira.ai</t>
  </si>
  <si>
    <t xml:space="preserve">https://www.ycombinator.com/companies/saphira-ai</t>
  </si>
  <si>
    <t xml:space="preserve">Yondu</t>
  </si>
  <si>
    <t xml:space="preserve">Michael Chen</t>
  </si>
  <si>
    <t xml:space="preserve">michael@yondu.ai</t>
  </si>
  <si>
    <t xml:space="preserve">guess (public: hello@yonduai.com)</t>
  </si>
  <si>
    <t xml:space="preserve">Warehouse robots for order picking at 3PLs: teleop first (ULTRON), then autonomy (YGM). Has a Fall 2026 Mechatronics Intern posting.</t>
  </si>
  <si>
    <t xml:space="preserve">Site is yondu.ai but the contact email is hello@yonduai.com (different domain). Copy also switches between "bin-picking" and "warehouse tasks" as the first thing you fully automate.</t>
  </si>
  <si>
    <t xml:space="preserve">Mechatronics intern question (and a small site note)</t>
  </si>
  <si>
    <t xml:space="preserve">Has an intern posting. Michael helped build an open-source bipedal robot at MIT.</t>
  </si>
  <si>
    <t xml:space="preserve">companies/01-11-yondu.md</t>
  </si>
  <si>
    <t xml:space="preserve">https://yondu.ai</t>
  </si>
  <si>
    <t xml:space="preserve">https://www.ycombinator.com/companies/yondu</t>
  </si>
  <si>
    <t xml:space="preserve">Ultra</t>
  </si>
  <si>
    <t xml:space="preserve">Oliver Ortlieb</t>
  </si>
  <si>
    <t xml:space="preserve">oliver@ultra.tech</t>
  </si>
  <si>
    <t xml:space="preserve">OP1 stationary robots that pack and sort orders in warehouses. Raised $62M on Oct 9, 2026 and partnered with Physical Intelligence.</t>
  </si>
  <si>
    <t xml:space="preserve">The "Introducing" section shows leftover CMS text: "No frames yet. Paste a manifest URL..." (VERIFY).</t>
  </si>
  <si>
    <t xml:space="preserve">Placeholder text showing on ultra.tech</t>
  </si>
  <si>
    <t xml:space="preserve">Fresh $62M raise, 19 open roles. Bigger hiring process, lower odds of cold reply but worth one shot.</t>
  </si>
  <si>
    <t xml:space="preserve">companies/01-12-ultra.md</t>
  </si>
  <si>
    <t xml:space="preserve">https://ultra.tech</t>
  </si>
  <si>
    <t xml:space="preserve">https://www.ycombinator.com/companies/ultra</t>
  </si>
  <si>
    <t xml:space="preserve">Proception</t>
  </si>
  <si>
    <t xml:space="preserve">Jay Li</t>
  </si>
  <si>
    <t xml:space="preserve">jay@proception.ai</t>
  </si>
  <si>
    <t xml:space="preserve">Dexterous robot hands (ProHand, 22 DOF, tactile skin) and a data glove (ProGlove). $11M seed led by First Round.</t>
  </si>
  <si>
    <t xml:space="preserve">"Explore products" button points to #products but there's no products section on the homepage. Nav says "Product", footer says "Products". (VERIFY)</t>
  </si>
  <si>
    <t xml:space="preserve">"Explore products" button on proception.ai</t>
  </si>
  <si>
    <t xml:space="preserve">Only role open is a technician in Palo Alto.</t>
  </si>
  <si>
    <t xml:space="preserve">companies/01-13-proception.md</t>
  </si>
  <si>
    <t xml:space="preserve">https://proception.ai</t>
  </si>
  <si>
    <t xml:space="preserve">https://www.ycombinator.com/companies/proception</t>
  </si>
  <si>
    <t xml:space="preserve">Mbodi AI</t>
  </si>
  <si>
    <t xml:space="preserve">Sebastian Peralta</t>
  </si>
  <si>
    <t xml:space="preserve">sebastian@mbodi.ai</t>
  </si>
  <si>
    <t xml:space="preserve">Teach industrial robots new skills with plain language and demos. ABB partnership. Open-source embodied-agents library.</t>
  </si>
  <si>
    <t xml:space="preserve">Every item in the press carousel links to the same TechInAsia article, including the TechCrunch and ABB headlines (VERIFY by clicking 3-4).</t>
  </si>
  <si>
    <t xml:space="preserve">Press links on mbodi.ai all go to one article</t>
  </si>
  <si>
    <t xml:space="preserve">Could upgrade to a build later with their open-source embodied-agents library.</t>
  </si>
  <si>
    <t xml:space="preserve">companies/01-14-mbodi-ai.md</t>
  </si>
  <si>
    <t xml:space="preserve">https://www.mbodi.ai</t>
  </si>
  <si>
    <t xml:space="preserve">https://www.ycombinator.com/companies/mbodi-ai</t>
  </si>
  <si>
    <t xml:space="preserve">Orangewood Labs</t>
  </si>
  <si>
    <t xml:space="preserve">Abhinav Das</t>
  </si>
  <si>
    <t xml:space="preserve">abhinav@orangewood.co</t>
  </si>
  <si>
    <t xml:space="preserve">guess (public: hellorobot@orangewood.co)</t>
  </si>
  <si>
    <t xml:space="preserve">Affordable AI robot arms for small manufacturers (RoboGPT). Most of the team is in India.</t>
  </si>
  <si>
    <t xml:space="preserve">The "Tasks Done by Orangewood Robots" section has the "rough estimates" disclaimer but no actual numbers showing (VERIFY).</t>
  </si>
  <si>
    <t xml:space="preserve">Missing numbers in "Tasks Done by Orangewood Robots"</t>
  </si>
  <si>
    <t xml:space="preserve">Open roles are all in Noida. Lower priority.</t>
  </si>
  <si>
    <t xml:space="preserve">companies/01-15-orangewood-labs.md</t>
  </si>
  <si>
    <t xml:space="preserve">https://www.orangewood.co</t>
  </si>
  <si>
    <t xml:space="preserve">https://www.ycombinator.com/companies/orangewood-labs</t>
  </si>
  <si>
    <t xml:space="preserve">Revise Robotics</t>
  </si>
  <si>
    <t xml:space="preserve">Rupesh Jeyaram</t>
  </si>
  <si>
    <t xml:space="preserve">rupesh@reviserobotics.com</t>
  </si>
  <si>
    <t xml:space="preserve">Robots that test, wipe, photograph, and list used laptops for resale. Posting Engineering Intern (Summer/Fall 2026).</t>
  </si>
  <si>
    <t xml:space="preserve">BUILD: a Python script that pulls a laptop's battery wear, disk health, RAM, and CPU into a one-page resale grade report.</t>
  </si>
  <si>
    <t xml:space="preserve">Python laptop health report (battery wear, SMART disk status, RAM, CPU) with a resale grade</t>
  </si>
  <si>
    <t xml:space="preserve">Built a laptop health-check script for refurbishing</t>
  </si>
  <si>
    <t xml:space="preserve">Has an Engineering Intern posting. Site didn't render for research; verify it loads.</t>
  </si>
  <si>
    <t xml:space="preserve">companies/01-16-revise-robotics.md</t>
  </si>
  <si>
    <t xml:space="preserve">https://www.reviserobotics.com</t>
  </si>
  <si>
    <t xml:space="preserve">https://www.ycombinator.com/companies/revise-robotics</t>
  </si>
  <si>
    <t xml:space="preserve">Aktoria Robotics</t>
  </si>
  <si>
    <t xml:space="preserve">Shreenabh Agrawal</t>
  </si>
  <si>
    <t xml:space="preserve">founders@aktoria.com</t>
  </si>
  <si>
    <t xml:space="preserve">public (founders@ shown on site)</t>
  </si>
  <si>
    <t xml:space="preserve">24/7 remote robot operators plus low-latency teleop software. Also sells teleop training data.</t>
  </si>
  <si>
    <t xml:space="preserve">Site names "R1 Teleop" as a product but never explains it, and "works with any robot" has no list of supported platforms.</t>
  </si>
  <si>
    <t xml:space="preserve">Question about R1 Teleop</t>
  </si>
  <si>
    <t xml:space="preserve">Brand new (S26), 2 people. Public founders@ email.</t>
  </si>
  <si>
    <t xml:space="preserve">companies/01-17-aktoria-robotics.md</t>
  </si>
  <si>
    <t xml:space="preserve">https://aktoria.com</t>
  </si>
  <si>
    <t xml:space="preserve">https://www.ycombinator.com/companies/aktoria-robotics</t>
  </si>
  <si>
    <t xml:space="preserve">Starcloud</t>
  </si>
  <si>
    <t xml:space="preserve">Adi Oltean</t>
  </si>
  <si>
    <t xml:space="preserve">Founder &amp; Chief Engineer</t>
  </si>
  <si>
    <t xml:space="preserve">adi@starcloud.com</t>
  </si>
  <si>
    <t xml:space="preserve">Data centers in space. Launched Starcloud-1 with an Nvidia H100 in Nov 2025. $170M Series A in Mar 2026.</t>
  </si>
  <si>
    <t xml:space="preserve">LOCAL: Venkat is in Redmond, same as Starcloud's hiring location, so he can help in person. Site footer still says (c) 2024 (VERIFY).</t>
  </si>
  <si>
    <t xml:space="preserve">Redmond student who'd love to help in person</t>
  </si>
  <si>
    <t xml:space="preserve">Local in Redmond. Big company now ($1.1B), so lower cold-email odds, but the local angle is strong.</t>
  </si>
  <si>
    <t xml:space="preserve">companies/01-18-starcloud.md</t>
  </si>
  <si>
    <t xml:space="preserve">https://www.starcloud.com</t>
  </si>
  <si>
    <t xml:space="preserve">https://www.ycombinator.com/companies/starcloud</t>
  </si>
  <si>
    <t xml:space="preserve">Feather</t>
  </si>
  <si>
    <t xml:space="preserve">Aahan Sawhney</t>
  </si>
  <si>
    <t xml:space="preserve">Co-founder</t>
  </si>
  <si>
    <t xml:space="preserve">aahan@featherhq.com</t>
  </si>
  <si>
    <t xml:space="preserve">Voice AI platform for natural-sounding AI phone calls.</t>
  </si>
  <si>
    <t xml:space="preserve">Site description used in Google results and link previews reads "Feather is helps enterprises build and deploy AI agents" (VERIFY by searching featherhq).</t>
  </si>
  <si>
    <t xml:space="preserve">Typo in Feather's Google/link preview text</t>
  </si>
  <si>
    <t xml:space="preserve">Only open role is India-based. Lower priority.</t>
  </si>
  <si>
    <t xml:space="preserve">companies/01-19-feather.md</t>
  </si>
  <si>
    <t xml:space="preserve">https://www.featherhq.com</t>
  </si>
  <si>
    <t xml:space="preserve">https://www.ycombinator.com/companies/feather</t>
  </si>
  <si>
    <t xml:space="preserve">Silurian</t>
  </si>
  <si>
    <t xml:space="preserve">Nikhil Shankar</t>
  </si>
  <si>
    <t xml:space="preserve">Co-founder &amp; Chief Engineer</t>
  </si>
  <si>
    <t xml:space="preserve">nikhil@silurian.ai</t>
  </si>
  <si>
    <t xml:space="preserve">Foundation models that simulate Earth, starting with weather (GFT, 1.5B params). API for energy, insurance, agriculture.</t>
  </si>
  <si>
    <t xml:space="preserve">Footer "API" link goes to the weather product page, not API docs (VERIFY).</t>
  </si>
  <si>
    <t xml:space="preserve">STOCK</t>
  </si>
  <si>
    <t xml:space="preserve">Footer "API" link on silurian.ai</t>
  </si>
  <si>
    <t xml:space="preserve">ML research role is senior. Lower priority.</t>
  </si>
  <si>
    <t xml:space="preserve">companies/01-20-silurian.md</t>
  </si>
  <si>
    <t xml:space="preserve">https://silurian.ai</t>
  </si>
  <si>
    <t xml:space="preserve">https://www.ycombinator.com/companies/silurian</t>
  </si>
  <si>
    <t xml:space="preserve">Metric</t>
  </si>
  <si>
    <t xml:space="preserve">Count</t>
  </si>
  <si>
    <t xml:space="preserve">Companies</t>
  </si>
  <si>
    <t xml:space="preserve">Verified</t>
  </si>
  <si>
    <t xml:space="preserve">Sent</t>
  </si>
  <si>
    <t xml:space="preserve">Followed up</t>
  </si>
  <si>
    <t xml:space="preserve">Replied</t>
  </si>
  <si>
    <t xml:space="preserve">Call scheduled</t>
  </si>
  <si>
    <t xml:space="preserve">No reply</t>
  </si>
  <si>
    <t xml:space="preserve">Skip</t>
  </si>
  <si>
    <t xml:space="preserve">Tier A (build)</t>
  </si>
  <si>
    <t xml:space="preserve">Tier B</t>
  </si>
  <si>
    <t xml:space="preserve">Tier C</t>
  </si>
  <si>
    <t xml:space="preserve">Reply rate (of sent)</t>
  </si>
  <si>
    <t xml:space="preserve">Yellow columns on Tracker are yours to edit: Status, Date sent, Follow-up sent, Response, Notes.</t>
  </si>
  <si>
    <t xml:space="preserve">Claude regenerates everything else each batch and keeps what you typed in the yellow columns.</t>
  </si>
  <si>
    <t xml:space="preserve">Follow-up due fills in 6 days after Date sent, and says 'done' once Follow-up sent has a date.</t>
  </si>
  <si>
    <t xml:space="preserve">Emails marked 'guess' in Email status are unverified. Check with Hunter.io or Apollo before sending.</t>
  </si>
  <si>
    <t xml:space="preserve">Every value item needs a quick check on the live site before you send.</t>
  </si>
  <si>
    <t xml:space="preserve">Tier A = Claude builds something for them. Tier B = strong observation. Tier C = lighter fit.</t>
  </si>
  <si>
    <t xml:space="preserve">Full drafts and follow-ups are in the repo under companies/ (path in Draft file).</t>
  </si>
  <si>
    <t xml:space="preserve">Close this file before asking Claude for the next batch, so it can be saved over.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</si>
</sst>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"/>
    <numFmt numFmtId="166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155C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1155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seus.us/" TargetMode="External"/><Relationship Id="rId2" Type="http://schemas.openxmlformats.org/officeDocument/2006/relationships/hyperlink" Target="https://www.ycombinator.com/companies/theseus" TargetMode="External"/><Relationship Id="rId3" Type="http://schemas.openxmlformats.org/officeDocument/2006/relationships/hyperlink" Target="https://www.polymathrobotics.com/" TargetMode="External"/><Relationship Id="rId4" Type="http://schemas.openxmlformats.org/officeDocument/2006/relationships/hyperlink" Target="https://www.ycombinator.com/companies/polymath-robotics" TargetMode="External"/><Relationship Id="rId5" Type="http://schemas.openxmlformats.org/officeDocument/2006/relationships/hyperlink" Target="https://innate.bot/" TargetMode="External"/><Relationship Id="rId6" Type="http://schemas.openxmlformats.org/officeDocument/2006/relationships/hyperlink" Target="https://www.ycombinator.com/companies/innate" TargetMode="External"/><Relationship Id="rId7" Type="http://schemas.openxmlformats.org/officeDocument/2006/relationships/hyperlink" Target="https://almond.bot/" TargetMode="External"/><Relationship Id="rId8" Type="http://schemas.openxmlformats.org/officeDocument/2006/relationships/hyperlink" Target="https://www.ycombinator.com/companies/almond" TargetMode="External"/><Relationship Id="rId9" Type="http://schemas.openxmlformats.org/officeDocument/2006/relationships/hyperlink" Target="https://morpho.ai/" TargetMode="External"/><Relationship Id="rId10" Type="http://schemas.openxmlformats.org/officeDocument/2006/relationships/hyperlink" Target="https://www.ycombinator.com/companies/morphoai" TargetMode="External"/><Relationship Id="rId11" Type="http://schemas.openxmlformats.org/officeDocument/2006/relationships/hyperlink" Target="https://os3robotics.com/" TargetMode="External"/><Relationship Id="rId12" Type="http://schemas.openxmlformats.org/officeDocument/2006/relationships/hyperlink" Target="https://www.ycombinator.com/companies/os3" TargetMode="External"/><Relationship Id="rId13" Type="http://schemas.openxmlformats.org/officeDocument/2006/relationships/hyperlink" Target="https://darwinrobotics.ai/" TargetMode="External"/><Relationship Id="rId14" Type="http://schemas.openxmlformats.org/officeDocument/2006/relationships/hyperlink" Target="https://www.ycombinator.com/companies/darwin" TargetMode="External"/><Relationship Id="rId15" Type="http://schemas.openxmlformats.org/officeDocument/2006/relationships/hyperlink" Target="https://lightberry.com/" TargetMode="External"/><Relationship Id="rId16" Type="http://schemas.openxmlformats.org/officeDocument/2006/relationships/hyperlink" Target="https://www.ycombinator.com/companies/lightberry" TargetMode="External"/><Relationship Id="rId17" Type="http://schemas.openxmlformats.org/officeDocument/2006/relationships/hyperlink" Target="https://bucket.bot/" TargetMode="External"/><Relationship Id="rId18" Type="http://schemas.openxmlformats.org/officeDocument/2006/relationships/hyperlink" Target="https://www.ycombinator.com/companies/bucket-robotics" TargetMode="External"/><Relationship Id="rId19" Type="http://schemas.openxmlformats.org/officeDocument/2006/relationships/hyperlink" Target="https://saphira.ai/" TargetMode="External"/><Relationship Id="rId20" Type="http://schemas.openxmlformats.org/officeDocument/2006/relationships/hyperlink" Target="https://www.ycombinator.com/companies/saphira-ai" TargetMode="External"/><Relationship Id="rId21" Type="http://schemas.openxmlformats.org/officeDocument/2006/relationships/hyperlink" Target="https://yondu.ai/" TargetMode="External"/><Relationship Id="rId22" Type="http://schemas.openxmlformats.org/officeDocument/2006/relationships/hyperlink" Target="https://www.ycombinator.com/companies/yondu" TargetMode="External"/><Relationship Id="rId23" Type="http://schemas.openxmlformats.org/officeDocument/2006/relationships/hyperlink" Target="https://ultra.tech/" TargetMode="External"/><Relationship Id="rId24" Type="http://schemas.openxmlformats.org/officeDocument/2006/relationships/hyperlink" Target="https://www.ycombinator.com/companies/ultra" TargetMode="External"/><Relationship Id="rId25" Type="http://schemas.openxmlformats.org/officeDocument/2006/relationships/hyperlink" Target="https://proception.ai/" TargetMode="External"/><Relationship Id="rId26" Type="http://schemas.openxmlformats.org/officeDocument/2006/relationships/hyperlink" Target="https://www.ycombinator.com/companies/proception" TargetMode="External"/><Relationship Id="rId27" Type="http://schemas.openxmlformats.org/officeDocument/2006/relationships/hyperlink" Target="https://www.mbodi.ai/" TargetMode="External"/><Relationship Id="rId28" Type="http://schemas.openxmlformats.org/officeDocument/2006/relationships/hyperlink" Target="https://www.ycombinator.com/companies/mbodi-ai" TargetMode="External"/><Relationship Id="rId29" Type="http://schemas.openxmlformats.org/officeDocument/2006/relationships/hyperlink" Target="https://www.orangewood.co/" TargetMode="External"/><Relationship Id="rId30" Type="http://schemas.openxmlformats.org/officeDocument/2006/relationships/hyperlink" Target="https://www.ycombinator.com/companies/orangewood-labs" TargetMode="External"/><Relationship Id="rId31" Type="http://schemas.openxmlformats.org/officeDocument/2006/relationships/hyperlink" Target="https://www.reviserobotics.com/" TargetMode="External"/><Relationship Id="rId32" Type="http://schemas.openxmlformats.org/officeDocument/2006/relationships/hyperlink" Target="https://www.ycombinator.com/companies/revise-robotics" TargetMode="External"/><Relationship Id="rId33" Type="http://schemas.openxmlformats.org/officeDocument/2006/relationships/hyperlink" Target="https://aktoria.com/" TargetMode="External"/><Relationship Id="rId34" Type="http://schemas.openxmlformats.org/officeDocument/2006/relationships/hyperlink" Target="https://www.ycombinator.com/companies/aktoria-robotics" TargetMode="External"/><Relationship Id="rId35" Type="http://schemas.openxmlformats.org/officeDocument/2006/relationships/hyperlink" Target="https://www.starcloud.com/" TargetMode="External"/><Relationship Id="rId36" Type="http://schemas.openxmlformats.org/officeDocument/2006/relationships/hyperlink" Target="https://www.ycombinator.com/companies/starcloud" TargetMode="External"/><Relationship Id="rId37" Type="http://schemas.openxmlformats.org/officeDocument/2006/relationships/hyperlink" Target="https://www.featherhq.com/" TargetMode="External"/><Relationship Id="rId38" Type="http://schemas.openxmlformats.org/officeDocument/2006/relationships/hyperlink" Target="https://www.ycombinator.com/companies/feather" TargetMode="External"/><Relationship Id="rId39" Type="http://schemas.openxmlformats.org/officeDocument/2006/relationships/hyperlink" Target="https://silurian.ai/" TargetMode="External"/><Relationship Id="rId40" Type="http://schemas.openxmlformats.org/officeDocument/2006/relationships/hyperlink" Target="https://www.ycombinator.com/companies/silurian" TargetMode="External"/><Relationship Id="rId4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6" min="5" style="0" width="18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45"/>
    <col collapsed="false" customWidth="true" hidden="false" outlineLevel="0" max="10" min="10" style="0" width="55"/>
    <col collapsed="false" customWidth="true" hidden="false" outlineLevel="0" max="11" min="11" style="0" width="30"/>
    <col collapsed="false" customWidth="true" hidden="false" outlineLevel="0" max="12" min="12" style="0" width="9"/>
    <col collapsed="false" customWidth="true" hidden="false" outlineLevel="0" max="13" min="13" style="0" width="32"/>
    <col collapsed="false" customWidth="true" hidden="false" outlineLevel="0" max="14" min="14" style="0" width="16"/>
    <col collapsed="false" customWidth="true" hidden="false" outlineLevel="0" max="15" min="15" style="0" width="11"/>
    <col collapsed="false" customWidth="true" hidden="false" outlineLevel="0" max="17" min="16" style="0" width="12"/>
    <col collapsed="false" customWidth="true" hidden="false" outlineLevel="0" max="18" min="18" style="0" width="25"/>
    <col collapsed="false" customWidth="true" hidden="false" outlineLevel="0" max="19" min="19" style="0" width="40"/>
    <col collapsed="false" customWidth="true" hidden="false" outlineLevel="0" max="20" min="20" style="0" width="30"/>
    <col collapsed="false" customWidth="true" hidden="false" outlineLevel="0" max="21" min="21" style="0" width="26"/>
    <col collapsed="false" customWidth="true" hidden="false" outlineLevel="0" max="22" min="22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35.05" hidden="false" customHeight="false" outlineLevel="0" collapsed="false">
      <c r="A2" s="2" t="n">
        <v>1</v>
      </c>
      <c r="B2" s="2" t="n">
        <v>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/>
      <c r="L2" s="2" t="s">
        <v>30</v>
      </c>
      <c r="M2" s="2" t="s">
        <v>31</v>
      </c>
      <c r="N2" s="3" t="s">
        <v>32</v>
      </c>
      <c r="O2" s="4"/>
      <c r="P2" s="5" t="str">
        <f aca="false">IF(O2="","",IF(Q2&lt;&gt;"","done",O2+6))</f>
        <v/>
      </c>
      <c r="Q2" s="4"/>
      <c r="R2" s="3"/>
      <c r="S2" s="3" t="s">
        <v>33</v>
      </c>
      <c r="T2" s="2" t="s">
        <v>34</v>
      </c>
      <c r="U2" s="6" t="s">
        <v>35</v>
      </c>
      <c r="V2" s="6" t="s">
        <v>36</v>
      </c>
    </row>
    <row r="3" customFormat="false" ht="35.05" hidden="false" customHeight="false" outlineLevel="0" collapsed="false">
      <c r="A3" s="2" t="n">
        <v>2</v>
      </c>
      <c r="B3" s="2" t="n">
        <v>1</v>
      </c>
      <c r="C3" s="2" t="s">
        <v>37</v>
      </c>
      <c r="D3" s="2" t="s">
        <v>38</v>
      </c>
      <c r="E3" s="2" t="s">
        <v>39</v>
      </c>
      <c r="F3" s="2" t="s">
        <v>25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30</v>
      </c>
      <c r="M3" s="2" t="s">
        <v>45</v>
      </c>
      <c r="N3" s="3" t="s">
        <v>46</v>
      </c>
      <c r="O3" s="4"/>
      <c r="P3" s="5" t="str">
        <f aca="false">IF(O3="","",IF(Q3&lt;&gt;"","done",O3+6))</f>
        <v/>
      </c>
      <c r="Q3" s="4"/>
      <c r="R3" s="3"/>
      <c r="S3" s="3" t="s">
        <v>47</v>
      </c>
      <c r="T3" s="2" t="s">
        <v>48</v>
      </c>
      <c r="U3" s="6" t="s">
        <v>49</v>
      </c>
      <c r="V3" s="6" t="s">
        <v>50</v>
      </c>
    </row>
    <row r="4" customFormat="false" ht="35.05" hidden="false" customHeight="false" outlineLevel="0" collapsed="false">
      <c r="A4" s="2" t="n">
        <v>3</v>
      </c>
      <c r="B4" s="2" t="n">
        <v>1</v>
      </c>
      <c r="C4" s="2" t="s">
        <v>51</v>
      </c>
      <c r="D4" s="2" t="s">
        <v>38</v>
      </c>
      <c r="E4" s="2" t="s">
        <v>52</v>
      </c>
      <c r="F4" s="2" t="s">
        <v>25</v>
      </c>
      <c r="G4" s="2" t="s">
        <v>53</v>
      </c>
      <c r="H4" s="2" t="s">
        <v>41</v>
      </c>
      <c r="I4" s="2" t="s">
        <v>54</v>
      </c>
      <c r="J4" s="2" t="s">
        <v>55</v>
      </c>
      <c r="K4" s="2" t="s">
        <v>56</v>
      </c>
      <c r="L4" s="2" t="s">
        <v>30</v>
      </c>
      <c r="M4" s="2" t="s">
        <v>57</v>
      </c>
      <c r="N4" s="3" t="s">
        <v>46</v>
      </c>
      <c r="O4" s="4"/>
      <c r="P4" s="5" t="str">
        <f aca="false">IF(O4="","",IF(Q4&lt;&gt;"","done",O4+6))</f>
        <v/>
      </c>
      <c r="Q4" s="4"/>
      <c r="R4" s="3"/>
      <c r="S4" s="3" t="s">
        <v>58</v>
      </c>
      <c r="T4" s="2" t="s">
        <v>59</v>
      </c>
      <c r="U4" s="6" t="s">
        <v>60</v>
      </c>
      <c r="V4" s="6" t="s">
        <v>61</v>
      </c>
    </row>
    <row r="5" customFormat="false" ht="46.25" hidden="false" customHeight="false" outlineLevel="0" collapsed="false">
      <c r="A5" s="2" t="n">
        <v>4</v>
      </c>
      <c r="B5" s="2" t="n">
        <v>1</v>
      </c>
      <c r="C5" s="2" t="s">
        <v>62</v>
      </c>
      <c r="D5" s="2" t="s">
        <v>38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30</v>
      </c>
      <c r="M5" s="2" t="s">
        <v>70</v>
      </c>
      <c r="N5" s="3" t="s">
        <v>46</v>
      </c>
      <c r="O5" s="4"/>
      <c r="P5" s="5" t="str">
        <f aca="false">IF(O5="","",IF(Q5&lt;&gt;"","done",O5+6))</f>
        <v/>
      </c>
      <c r="Q5" s="4"/>
      <c r="R5" s="3"/>
      <c r="S5" s="3" t="s">
        <v>71</v>
      </c>
      <c r="T5" s="2" t="s">
        <v>72</v>
      </c>
      <c r="U5" s="6" t="s">
        <v>73</v>
      </c>
      <c r="V5" s="6" t="s">
        <v>74</v>
      </c>
    </row>
    <row r="6" customFormat="false" ht="35.05" hidden="false" customHeight="false" outlineLevel="0" collapsed="false">
      <c r="A6" s="2" t="n">
        <v>5</v>
      </c>
      <c r="B6" s="2" t="n">
        <v>1</v>
      </c>
      <c r="C6" s="2" t="s">
        <v>75</v>
      </c>
      <c r="D6" s="2" t="s">
        <v>38</v>
      </c>
      <c r="E6" s="2" t="s">
        <v>76</v>
      </c>
      <c r="F6" s="2" t="s">
        <v>25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30</v>
      </c>
      <c r="M6" s="2" t="s">
        <v>82</v>
      </c>
      <c r="N6" s="3" t="s">
        <v>46</v>
      </c>
      <c r="O6" s="4"/>
      <c r="P6" s="5" t="str">
        <f aca="false">IF(O6="","",IF(Q6&lt;&gt;"","done",O6+6))</f>
        <v/>
      </c>
      <c r="Q6" s="4"/>
      <c r="R6" s="3"/>
      <c r="S6" s="3" t="s">
        <v>83</v>
      </c>
      <c r="T6" s="2" t="s">
        <v>84</v>
      </c>
      <c r="U6" s="6" t="s">
        <v>85</v>
      </c>
      <c r="V6" s="6" t="s">
        <v>86</v>
      </c>
    </row>
    <row r="7" customFormat="false" ht="46.25" hidden="false" customHeight="false" outlineLevel="0" collapsed="false">
      <c r="A7" s="2" t="n">
        <v>6</v>
      </c>
      <c r="B7" s="2" t="n">
        <v>1</v>
      </c>
      <c r="C7" s="2" t="s">
        <v>87</v>
      </c>
      <c r="D7" s="2" t="s">
        <v>23</v>
      </c>
      <c r="E7" s="2" t="s">
        <v>88</v>
      </c>
      <c r="F7" s="2" t="s">
        <v>89</v>
      </c>
      <c r="G7" s="2" t="s">
        <v>90</v>
      </c>
      <c r="H7" s="2" t="s">
        <v>41</v>
      </c>
      <c r="I7" s="2" t="s">
        <v>91</v>
      </c>
      <c r="J7" s="2" t="s">
        <v>92</v>
      </c>
      <c r="K7" s="2"/>
      <c r="L7" s="2" t="s">
        <v>30</v>
      </c>
      <c r="M7" s="2" t="s">
        <v>93</v>
      </c>
      <c r="N7" s="3" t="s">
        <v>32</v>
      </c>
      <c r="O7" s="4"/>
      <c r="P7" s="5" t="str">
        <f aca="false">IF(O7="","",IF(Q7&lt;&gt;"","done",O7+6))</f>
        <v/>
      </c>
      <c r="Q7" s="4"/>
      <c r="R7" s="3"/>
      <c r="S7" s="3" t="s">
        <v>94</v>
      </c>
      <c r="T7" s="2" t="s">
        <v>95</v>
      </c>
      <c r="U7" s="6" t="s">
        <v>96</v>
      </c>
      <c r="V7" s="6" t="s">
        <v>97</v>
      </c>
    </row>
    <row r="8" customFormat="false" ht="35.05" hidden="false" customHeight="false" outlineLevel="0" collapsed="false">
      <c r="A8" s="2" t="n">
        <v>7</v>
      </c>
      <c r="B8" s="2" t="n">
        <v>1</v>
      </c>
      <c r="C8" s="2" t="s">
        <v>98</v>
      </c>
      <c r="D8" s="2" t="s">
        <v>99</v>
      </c>
      <c r="E8" s="2" t="s">
        <v>100</v>
      </c>
      <c r="F8" s="2" t="s">
        <v>101</v>
      </c>
      <c r="G8" s="2" t="s">
        <v>102</v>
      </c>
      <c r="H8" s="2" t="s">
        <v>41</v>
      </c>
      <c r="I8" s="2" t="s">
        <v>103</v>
      </c>
      <c r="J8" s="2" t="s">
        <v>104</v>
      </c>
      <c r="K8" s="2"/>
      <c r="L8" s="2" t="s">
        <v>30</v>
      </c>
      <c r="M8" s="2" t="s">
        <v>105</v>
      </c>
      <c r="N8" s="3" t="s">
        <v>32</v>
      </c>
      <c r="O8" s="4"/>
      <c r="P8" s="5" t="str">
        <f aca="false">IF(O8="","",IF(Q8&lt;&gt;"","done",O8+6))</f>
        <v/>
      </c>
      <c r="Q8" s="4"/>
      <c r="R8" s="3"/>
      <c r="S8" s="3" t="s">
        <v>106</v>
      </c>
      <c r="T8" s="2" t="s">
        <v>107</v>
      </c>
      <c r="U8" s="6" t="s">
        <v>108</v>
      </c>
      <c r="V8" s="6" t="s">
        <v>109</v>
      </c>
    </row>
    <row r="9" customFormat="false" ht="46.25" hidden="false" customHeight="false" outlineLevel="0" collapsed="false">
      <c r="A9" s="2" t="n">
        <v>8</v>
      </c>
      <c r="B9" s="2" t="n">
        <v>1</v>
      </c>
      <c r="C9" s="2" t="s">
        <v>110</v>
      </c>
      <c r="D9" s="2" t="s">
        <v>23</v>
      </c>
      <c r="E9" s="2" t="s">
        <v>111</v>
      </c>
      <c r="F9" s="2" t="s">
        <v>25</v>
      </c>
      <c r="G9" s="2" t="s">
        <v>112</v>
      </c>
      <c r="H9" s="2" t="s">
        <v>41</v>
      </c>
      <c r="I9" s="2" t="s">
        <v>113</v>
      </c>
      <c r="J9" s="2" t="s">
        <v>114</v>
      </c>
      <c r="K9" s="2"/>
      <c r="L9" s="2" t="s">
        <v>115</v>
      </c>
      <c r="M9" s="2" t="s">
        <v>116</v>
      </c>
      <c r="N9" s="3" t="s">
        <v>32</v>
      </c>
      <c r="O9" s="4"/>
      <c r="P9" s="5" t="str">
        <f aca="false">IF(O9="","",IF(Q9&lt;&gt;"","done",O9+6))</f>
        <v/>
      </c>
      <c r="Q9" s="4"/>
      <c r="R9" s="3"/>
      <c r="S9" s="3" t="s">
        <v>117</v>
      </c>
      <c r="T9" s="2" t="s">
        <v>118</v>
      </c>
      <c r="U9" s="6" t="s">
        <v>119</v>
      </c>
      <c r="V9" s="6" t="s">
        <v>120</v>
      </c>
    </row>
    <row r="10" customFormat="false" ht="35.05" hidden="false" customHeight="false" outlineLevel="0" collapsed="false">
      <c r="A10" s="2" t="n">
        <v>9</v>
      </c>
      <c r="B10" s="2" t="n">
        <v>1</v>
      </c>
      <c r="C10" s="2" t="s">
        <v>121</v>
      </c>
      <c r="D10" s="2" t="s">
        <v>99</v>
      </c>
      <c r="E10" s="2" t="s">
        <v>122</v>
      </c>
      <c r="F10" s="2" t="s">
        <v>101</v>
      </c>
      <c r="G10" s="2" t="s">
        <v>123</v>
      </c>
      <c r="H10" s="2" t="s">
        <v>41</v>
      </c>
      <c r="I10" s="2" t="s">
        <v>124</v>
      </c>
      <c r="J10" s="2" t="s">
        <v>125</v>
      </c>
      <c r="K10" s="2"/>
      <c r="L10" s="2" t="s">
        <v>30</v>
      </c>
      <c r="M10" s="2" t="s">
        <v>126</v>
      </c>
      <c r="N10" s="3" t="s">
        <v>32</v>
      </c>
      <c r="O10" s="4"/>
      <c r="P10" s="5" t="str">
        <f aca="false">IF(O10="","",IF(Q10&lt;&gt;"","done",O10+6))</f>
        <v/>
      </c>
      <c r="Q10" s="4"/>
      <c r="R10" s="3"/>
      <c r="S10" s="3" t="s">
        <v>127</v>
      </c>
      <c r="T10" s="2" t="s">
        <v>128</v>
      </c>
      <c r="U10" s="6" t="s">
        <v>129</v>
      </c>
      <c r="V10" s="6" t="s">
        <v>130</v>
      </c>
    </row>
    <row r="11" customFormat="false" ht="23.85" hidden="false" customHeight="false" outlineLevel="0" collapsed="false">
      <c r="A11" s="2" t="n">
        <v>10</v>
      </c>
      <c r="B11" s="2" t="n">
        <v>1</v>
      </c>
      <c r="C11" s="2" t="s">
        <v>131</v>
      </c>
      <c r="D11" s="2" t="s">
        <v>99</v>
      </c>
      <c r="E11" s="2" t="s">
        <v>132</v>
      </c>
      <c r="F11" s="2" t="s">
        <v>64</v>
      </c>
      <c r="G11" s="2" t="s">
        <v>133</v>
      </c>
      <c r="H11" s="2" t="s">
        <v>134</v>
      </c>
      <c r="I11" s="2" t="s">
        <v>135</v>
      </c>
      <c r="J11" s="2" t="s">
        <v>136</v>
      </c>
      <c r="K11" s="2"/>
      <c r="L11" s="2" t="s">
        <v>30</v>
      </c>
      <c r="M11" s="2" t="s">
        <v>137</v>
      </c>
      <c r="N11" s="3" t="s">
        <v>32</v>
      </c>
      <c r="O11" s="4"/>
      <c r="P11" s="5" t="str">
        <f aca="false">IF(O11="","",IF(Q11&lt;&gt;"","done",O11+6))</f>
        <v/>
      </c>
      <c r="Q11" s="4"/>
      <c r="R11" s="3"/>
      <c r="S11" s="3" t="s">
        <v>138</v>
      </c>
      <c r="T11" s="2" t="s">
        <v>139</v>
      </c>
      <c r="U11" s="6" t="s">
        <v>140</v>
      </c>
      <c r="V11" s="6" t="s">
        <v>141</v>
      </c>
    </row>
    <row r="12" customFormat="false" ht="35.05" hidden="false" customHeight="false" outlineLevel="0" collapsed="false">
      <c r="A12" s="2" t="n">
        <v>11</v>
      </c>
      <c r="B12" s="2" t="n">
        <v>1</v>
      </c>
      <c r="C12" s="2" t="s">
        <v>142</v>
      </c>
      <c r="D12" s="2" t="s">
        <v>23</v>
      </c>
      <c r="E12" s="2" t="s">
        <v>143</v>
      </c>
      <c r="F12" s="2" t="s">
        <v>101</v>
      </c>
      <c r="G12" s="2" t="s">
        <v>144</v>
      </c>
      <c r="H12" s="2" t="s">
        <v>145</v>
      </c>
      <c r="I12" s="2" t="s">
        <v>146</v>
      </c>
      <c r="J12" s="2" t="s">
        <v>147</v>
      </c>
      <c r="K12" s="2"/>
      <c r="L12" s="2" t="s">
        <v>30</v>
      </c>
      <c r="M12" s="2" t="s">
        <v>148</v>
      </c>
      <c r="N12" s="3" t="s">
        <v>32</v>
      </c>
      <c r="O12" s="4"/>
      <c r="P12" s="5" t="str">
        <f aca="false">IF(O12="","",IF(Q12&lt;&gt;"","done",O12+6))</f>
        <v/>
      </c>
      <c r="Q12" s="4"/>
      <c r="R12" s="3"/>
      <c r="S12" s="3" t="s">
        <v>149</v>
      </c>
      <c r="T12" s="2" t="s">
        <v>150</v>
      </c>
      <c r="U12" s="6" t="s">
        <v>151</v>
      </c>
      <c r="V12" s="6" t="s">
        <v>152</v>
      </c>
    </row>
    <row r="13" customFormat="false" ht="35.05" hidden="false" customHeight="false" outlineLevel="0" collapsed="false">
      <c r="A13" s="2" t="n">
        <v>12</v>
      </c>
      <c r="B13" s="2" t="n">
        <v>1</v>
      </c>
      <c r="C13" s="2" t="s">
        <v>153</v>
      </c>
      <c r="D13" s="2" t="s">
        <v>23</v>
      </c>
      <c r="E13" s="2" t="s">
        <v>154</v>
      </c>
      <c r="F13" s="2" t="s">
        <v>25</v>
      </c>
      <c r="G13" s="2" t="s">
        <v>155</v>
      </c>
      <c r="H13" s="2" t="s">
        <v>41</v>
      </c>
      <c r="I13" s="2" t="s">
        <v>156</v>
      </c>
      <c r="J13" s="2" t="s">
        <v>157</v>
      </c>
      <c r="K13" s="2"/>
      <c r="L13" s="2" t="s">
        <v>30</v>
      </c>
      <c r="M13" s="2" t="s">
        <v>158</v>
      </c>
      <c r="N13" s="3" t="s">
        <v>32</v>
      </c>
      <c r="O13" s="4"/>
      <c r="P13" s="5" t="str">
        <f aca="false">IF(O13="","",IF(Q13&lt;&gt;"","done",O13+6))</f>
        <v/>
      </c>
      <c r="Q13" s="4"/>
      <c r="R13" s="3"/>
      <c r="S13" s="3" t="s">
        <v>159</v>
      </c>
      <c r="T13" s="2" t="s">
        <v>160</v>
      </c>
      <c r="U13" s="6" t="s">
        <v>161</v>
      </c>
      <c r="V13" s="6" t="s">
        <v>162</v>
      </c>
    </row>
    <row r="14" customFormat="false" ht="35.05" hidden="false" customHeight="false" outlineLevel="0" collapsed="false">
      <c r="A14" s="2" t="n">
        <v>13</v>
      </c>
      <c r="B14" s="2" t="n">
        <v>1</v>
      </c>
      <c r="C14" s="2" t="s">
        <v>163</v>
      </c>
      <c r="D14" s="2" t="s">
        <v>99</v>
      </c>
      <c r="E14" s="2" t="s">
        <v>164</v>
      </c>
      <c r="F14" s="2" t="s">
        <v>101</v>
      </c>
      <c r="G14" s="2" t="s">
        <v>165</v>
      </c>
      <c r="H14" s="2" t="s">
        <v>41</v>
      </c>
      <c r="I14" s="2" t="s">
        <v>166</v>
      </c>
      <c r="J14" s="2" t="s">
        <v>167</v>
      </c>
      <c r="K14" s="2"/>
      <c r="L14" s="2" t="s">
        <v>30</v>
      </c>
      <c r="M14" s="2" t="s">
        <v>168</v>
      </c>
      <c r="N14" s="3" t="s">
        <v>32</v>
      </c>
      <c r="O14" s="4"/>
      <c r="P14" s="5" t="str">
        <f aca="false">IF(O14="","",IF(Q14&lt;&gt;"","done",O14+6))</f>
        <v/>
      </c>
      <c r="Q14" s="4"/>
      <c r="R14" s="3"/>
      <c r="S14" s="3" t="s">
        <v>169</v>
      </c>
      <c r="T14" s="2" t="s">
        <v>170</v>
      </c>
      <c r="U14" s="6" t="s">
        <v>171</v>
      </c>
      <c r="V14" s="6" t="s">
        <v>172</v>
      </c>
    </row>
    <row r="15" customFormat="false" ht="35.05" hidden="false" customHeight="false" outlineLevel="0" collapsed="false">
      <c r="A15" s="2" t="n">
        <v>14</v>
      </c>
      <c r="B15" s="2" t="n">
        <v>1</v>
      </c>
      <c r="C15" s="2" t="s">
        <v>173</v>
      </c>
      <c r="D15" s="2" t="s">
        <v>23</v>
      </c>
      <c r="E15" s="2" t="s">
        <v>174</v>
      </c>
      <c r="F15" s="2" t="s">
        <v>101</v>
      </c>
      <c r="G15" s="2" t="s">
        <v>175</v>
      </c>
      <c r="H15" s="2" t="s">
        <v>41</v>
      </c>
      <c r="I15" s="2" t="s">
        <v>176</v>
      </c>
      <c r="J15" s="2" t="s">
        <v>177</v>
      </c>
      <c r="K15" s="2"/>
      <c r="L15" s="2" t="s">
        <v>30</v>
      </c>
      <c r="M15" s="2" t="s">
        <v>178</v>
      </c>
      <c r="N15" s="3" t="s">
        <v>32</v>
      </c>
      <c r="O15" s="4"/>
      <c r="P15" s="5" t="str">
        <f aca="false">IF(O15="","",IF(Q15&lt;&gt;"","done",O15+6))</f>
        <v/>
      </c>
      <c r="Q15" s="4"/>
      <c r="R15" s="3"/>
      <c r="S15" s="3" t="s">
        <v>179</v>
      </c>
      <c r="T15" s="2" t="s">
        <v>180</v>
      </c>
      <c r="U15" s="6" t="s">
        <v>181</v>
      </c>
      <c r="V15" s="6" t="s">
        <v>182</v>
      </c>
    </row>
    <row r="16" customFormat="false" ht="35.05" hidden="false" customHeight="false" outlineLevel="0" collapsed="false">
      <c r="A16" s="2" t="n">
        <v>15</v>
      </c>
      <c r="B16" s="2" t="n">
        <v>1</v>
      </c>
      <c r="C16" s="2" t="s">
        <v>183</v>
      </c>
      <c r="D16" s="2" t="s">
        <v>99</v>
      </c>
      <c r="E16" s="2" t="s">
        <v>184</v>
      </c>
      <c r="F16" s="2" t="s">
        <v>89</v>
      </c>
      <c r="G16" s="2" t="s">
        <v>185</v>
      </c>
      <c r="H16" s="2" t="s">
        <v>186</v>
      </c>
      <c r="I16" s="2" t="s">
        <v>187</v>
      </c>
      <c r="J16" s="2" t="s">
        <v>188</v>
      </c>
      <c r="K16" s="2"/>
      <c r="L16" s="2" t="s">
        <v>30</v>
      </c>
      <c r="M16" s="2" t="s">
        <v>189</v>
      </c>
      <c r="N16" s="3" t="s">
        <v>32</v>
      </c>
      <c r="O16" s="4"/>
      <c r="P16" s="5" t="str">
        <f aca="false">IF(O16="","",IF(Q16&lt;&gt;"","done",O16+6))</f>
        <v/>
      </c>
      <c r="Q16" s="4"/>
      <c r="R16" s="3"/>
      <c r="S16" s="3" t="s">
        <v>190</v>
      </c>
      <c r="T16" s="2" t="s">
        <v>191</v>
      </c>
      <c r="U16" s="6" t="s">
        <v>192</v>
      </c>
      <c r="V16" s="6" t="s">
        <v>193</v>
      </c>
    </row>
    <row r="17" customFormat="false" ht="35.05" hidden="false" customHeight="false" outlineLevel="0" collapsed="false">
      <c r="A17" s="2" t="n">
        <v>16</v>
      </c>
      <c r="B17" s="2" t="n">
        <v>1</v>
      </c>
      <c r="C17" s="2" t="s">
        <v>194</v>
      </c>
      <c r="D17" s="2" t="s">
        <v>38</v>
      </c>
      <c r="E17" s="2" t="s">
        <v>195</v>
      </c>
      <c r="F17" s="2" t="s">
        <v>101</v>
      </c>
      <c r="G17" s="2" t="s">
        <v>196</v>
      </c>
      <c r="H17" s="2" t="s">
        <v>41</v>
      </c>
      <c r="I17" s="2" t="s">
        <v>197</v>
      </c>
      <c r="J17" s="2" t="s">
        <v>198</v>
      </c>
      <c r="K17" s="2" t="s">
        <v>199</v>
      </c>
      <c r="L17" s="2" t="s">
        <v>30</v>
      </c>
      <c r="M17" s="2" t="s">
        <v>200</v>
      </c>
      <c r="N17" s="3" t="s">
        <v>46</v>
      </c>
      <c r="O17" s="4"/>
      <c r="P17" s="5" t="str">
        <f aca="false">IF(O17="","",IF(Q17&lt;&gt;"","done",O17+6))</f>
        <v/>
      </c>
      <c r="Q17" s="4"/>
      <c r="R17" s="3"/>
      <c r="S17" s="3" t="s">
        <v>201</v>
      </c>
      <c r="T17" s="2" t="s">
        <v>202</v>
      </c>
      <c r="U17" s="6" t="s">
        <v>203</v>
      </c>
      <c r="V17" s="6" t="s">
        <v>204</v>
      </c>
    </row>
    <row r="18" customFormat="false" ht="23.85" hidden="false" customHeight="false" outlineLevel="0" collapsed="false">
      <c r="A18" s="2" t="n">
        <v>17</v>
      </c>
      <c r="B18" s="2" t="n">
        <v>1</v>
      </c>
      <c r="C18" s="2" t="s">
        <v>205</v>
      </c>
      <c r="D18" s="2" t="s">
        <v>23</v>
      </c>
      <c r="E18" s="2" t="s">
        <v>206</v>
      </c>
      <c r="F18" s="2" t="s">
        <v>89</v>
      </c>
      <c r="G18" s="2" t="s">
        <v>207</v>
      </c>
      <c r="H18" s="2" t="s">
        <v>208</v>
      </c>
      <c r="I18" s="2" t="s">
        <v>209</v>
      </c>
      <c r="J18" s="2" t="s">
        <v>210</v>
      </c>
      <c r="K18" s="2"/>
      <c r="L18" s="2" t="s">
        <v>30</v>
      </c>
      <c r="M18" s="2" t="s">
        <v>211</v>
      </c>
      <c r="N18" s="3" t="s">
        <v>32</v>
      </c>
      <c r="O18" s="4"/>
      <c r="P18" s="5" t="str">
        <f aca="false">IF(O18="","",IF(Q18&lt;&gt;"","done",O18+6))</f>
        <v/>
      </c>
      <c r="Q18" s="4"/>
      <c r="R18" s="3"/>
      <c r="S18" s="3" t="s">
        <v>212</v>
      </c>
      <c r="T18" s="2" t="s">
        <v>213</v>
      </c>
      <c r="U18" s="6" t="s">
        <v>214</v>
      </c>
      <c r="V18" s="6" t="s">
        <v>215</v>
      </c>
    </row>
    <row r="19" customFormat="false" ht="35.05" hidden="false" customHeight="false" outlineLevel="0" collapsed="false">
      <c r="A19" s="2" t="n">
        <v>18</v>
      </c>
      <c r="B19" s="2" t="n">
        <v>1</v>
      </c>
      <c r="C19" s="2" t="s">
        <v>216</v>
      </c>
      <c r="D19" s="2" t="s">
        <v>23</v>
      </c>
      <c r="E19" s="2" t="s">
        <v>217</v>
      </c>
      <c r="F19" s="2" t="s">
        <v>218</v>
      </c>
      <c r="G19" s="2" t="s">
        <v>219</v>
      </c>
      <c r="H19" s="2" t="s">
        <v>41</v>
      </c>
      <c r="I19" s="2" t="s">
        <v>220</v>
      </c>
      <c r="J19" s="2" t="s">
        <v>221</v>
      </c>
      <c r="K19" s="2"/>
      <c r="L19" s="2" t="s">
        <v>30</v>
      </c>
      <c r="M19" s="2" t="s">
        <v>222</v>
      </c>
      <c r="N19" s="3" t="s">
        <v>32</v>
      </c>
      <c r="O19" s="4"/>
      <c r="P19" s="5" t="str">
        <f aca="false">IF(O19="","",IF(Q19&lt;&gt;"","done",O19+6))</f>
        <v/>
      </c>
      <c r="Q19" s="4"/>
      <c r="R19" s="3"/>
      <c r="S19" s="3" t="s">
        <v>223</v>
      </c>
      <c r="T19" s="2" t="s">
        <v>224</v>
      </c>
      <c r="U19" s="6" t="s">
        <v>225</v>
      </c>
      <c r="V19" s="6" t="s">
        <v>226</v>
      </c>
    </row>
    <row r="20" customFormat="false" ht="35.05" hidden="false" customHeight="false" outlineLevel="0" collapsed="false">
      <c r="A20" s="2" t="n">
        <v>19</v>
      </c>
      <c r="B20" s="2" t="n">
        <v>1</v>
      </c>
      <c r="C20" s="2" t="s">
        <v>227</v>
      </c>
      <c r="D20" s="2" t="s">
        <v>99</v>
      </c>
      <c r="E20" s="2" t="s">
        <v>228</v>
      </c>
      <c r="F20" s="2" t="s">
        <v>229</v>
      </c>
      <c r="G20" s="2" t="s">
        <v>230</v>
      </c>
      <c r="H20" s="2" t="s">
        <v>41</v>
      </c>
      <c r="I20" s="2" t="s">
        <v>231</v>
      </c>
      <c r="J20" s="2" t="s">
        <v>232</v>
      </c>
      <c r="K20" s="2"/>
      <c r="L20" s="2" t="s">
        <v>115</v>
      </c>
      <c r="M20" s="2" t="s">
        <v>233</v>
      </c>
      <c r="N20" s="3" t="s">
        <v>32</v>
      </c>
      <c r="O20" s="4"/>
      <c r="P20" s="5" t="str">
        <f aca="false">IF(O20="","",IF(Q20&lt;&gt;"","done",O20+6))</f>
        <v/>
      </c>
      <c r="Q20" s="4"/>
      <c r="R20" s="3"/>
      <c r="S20" s="3" t="s">
        <v>234</v>
      </c>
      <c r="T20" s="2" t="s">
        <v>235</v>
      </c>
      <c r="U20" s="6" t="s">
        <v>236</v>
      </c>
      <c r="V20" s="6" t="s">
        <v>237</v>
      </c>
    </row>
    <row r="21" customFormat="false" ht="35.05" hidden="false" customHeight="false" outlineLevel="0" collapsed="false">
      <c r="A21" s="2" t="n">
        <v>20</v>
      </c>
      <c r="B21" s="2" t="n">
        <v>1</v>
      </c>
      <c r="C21" s="2" t="s">
        <v>238</v>
      </c>
      <c r="D21" s="2" t="s">
        <v>99</v>
      </c>
      <c r="E21" s="2" t="s">
        <v>239</v>
      </c>
      <c r="F21" s="2" t="s">
        <v>240</v>
      </c>
      <c r="G21" s="2" t="s">
        <v>241</v>
      </c>
      <c r="H21" s="2" t="s">
        <v>41</v>
      </c>
      <c r="I21" s="2" t="s">
        <v>242</v>
      </c>
      <c r="J21" s="2" t="s">
        <v>243</v>
      </c>
      <c r="K21" s="2"/>
      <c r="L21" s="2" t="s">
        <v>244</v>
      </c>
      <c r="M21" s="2" t="s">
        <v>245</v>
      </c>
      <c r="N21" s="3" t="s">
        <v>32</v>
      </c>
      <c r="O21" s="4"/>
      <c r="P21" s="5" t="str">
        <f aca="false">IF(O21="","",IF(Q21&lt;&gt;"","done",O21+6))</f>
        <v/>
      </c>
      <c r="Q21" s="4"/>
      <c r="R21" s="3"/>
      <c r="S21" s="3" t="s">
        <v>246</v>
      </c>
      <c r="T21" s="2" t="s">
        <v>247</v>
      </c>
      <c r="U21" s="6" t="s">
        <v>248</v>
      </c>
      <c r="V21" s="6" t="s">
        <v>249</v>
      </c>
    </row>
  </sheetData>
  <autoFilter ref="A1:V21"/>
  <dataValidations count="1">
    <dataValidation allowBlank="true" errorStyle="stop" operator="between" showDropDown="false" showErrorMessage="false" showInputMessage="false" sqref="N2:N21" type="list">
      <formula1>"Waiting on build,Ready to review,Verified,Sent,Followed up,Replied,Call scheduled,No reply,Skip"</formula1>
      <formula2>0</formula2>
    </dataValidation>
  </dataValidations>
  <hyperlinks>
    <hyperlink ref="U2" r:id="rId1" display="https://theseus.us"/>
    <hyperlink ref="V2" r:id="rId2" display="https://www.ycombinator.com/companies/theseus"/>
    <hyperlink ref="U3" r:id="rId3" display="https://www.polymathrobotics.com"/>
    <hyperlink ref="V3" r:id="rId4" display="https://www.ycombinator.com/companies/polymath-robotics"/>
    <hyperlink ref="U4" r:id="rId5" display="https://innate.bot"/>
    <hyperlink ref="V4" r:id="rId6" display="https://www.ycombinator.com/companies/innate"/>
    <hyperlink ref="U5" r:id="rId7" display="https://almond.bot"/>
    <hyperlink ref="V5" r:id="rId8" display="https://www.ycombinator.com/companies/almond"/>
    <hyperlink ref="U6" r:id="rId9" display="https://morpho.ai"/>
    <hyperlink ref="V6" r:id="rId10" display="https://www.ycombinator.com/companies/morphoai"/>
    <hyperlink ref="U7" r:id="rId11" display="https://os3robotics.com"/>
    <hyperlink ref="V7" r:id="rId12" display="https://www.ycombinator.com/companies/os3"/>
    <hyperlink ref="U8" r:id="rId13" display="https://darwinrobotics.ai"/>
    <hyperlink ref="V8" r:id="rId14" display="https://www.ycombinator.com/companies/darwin"/>
    <hyperlink ref="U9" r:id="rId15" display="https://lightberry.com"/>
    <hyperlink ref="V9" r:id="rId16" display="https://www.ycombinator.com/companies/lightberry"/>
    <hyperlink ref="U10" r:id="rId17" display="https://bucket.bot"/>
    <hyperlink ref="V10" r:id="rId18" display="https://www.ycombinator.com/companies/bucket-robotics"/>
    <hyperlink ref="U11" r:id="rId19" display="https://saphira.ai"/>
    <hyperlink ref="V11" r:id="rId20" display="https://www.ycombinator.com/companies/saphira-ai"/>
    <hyperlink ref="U12" r:id="rId21" display="https://yondu.ai"/>
    <hyperlink ref="V12" r:id="rId22" display="https://www.ycombinator.com/companies/yondu"/>
    <hyperlink ref="U13" r:id="rId23" display="https://ultra.tech"/>
    <hyperlink ref="V13" r:id="rId24" display="https://www.ycombinator.com/companies/ultra"/>
    <hyperlink ref="U14" r:id="rId25" display="https://proception.ai"/>
    <hyperlink ref="V14" r:id="rId26" display="https://www.ycombinator.com/companies/proception"/>
    <hyperlink ref="U15" r:id="rId27" display="https://www.mbodi.ai"/>
    <hyperlink ref="V15" r:id="rId28" display="https://www.ycombinator.com/companies/mbodi-ai"/>
    <hyperlink ref="U16" r:id="rId29" display="https://www.orangewood.co"/>
    <hyperlink ref="V16" r:id="rId30" display="https://www.ycombinator.com/companies/orangewood-labs"/>
    <hyperlink ref="U17" r:id="rId31" display="https://www.reviserobotics.com"/>
    <hyperlink ref="V17" r:id="rId32" display="https://www.ycombinator.com/companies/revise-robotics"/>
    <hyperlink ref="U18" r:id="rId33" display="https://aktoria.com"/>
    <hyperlink ref="V18" r:id="rId34" display="https://www.ycombinator.com/companies/aktoria-robotics"/>
    <hyperlink ref="U19" r:id="rId35" display="https://www.starcloud.com"/>
    <hyperlink ref="V19" r:id="rId36" display="https://www.ycombinator.com/companies/starcloud"/>
    <hyperlink ref="U20" r:id="rId37" display="https://www.featherhq.com"/>
    <hyperlink ref="V20" r:id="rId38" display="https://www.ycombinator.com/companies/feather"/>
    <hyperlink ref="U21" r:id="rId39" display="https://silurian.ai"/>
    <hyperlink ref="V21" r:id="rId40" display="https://www.ycombinator.com/companies/siluria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7" t="s">
        <v>250</v>
      </c>
      <c r="B1" s="7" t="s">
        <v>251</v>
      </c>
    </row>
    <row r="2" customFormat="false" ht="15" hidden="false" customHeight="false" outlineLevel="0" collapsed="false">
      <c r="A2" s="8" t="s">
        <v>252</v>
      </c>
      <c r="B2" s="8" t="n">
        <f aca="false">COUNTA(Tracker!C2:C21)</f>
        <v>20</v>
      </c>
    </row>
    <row r="3" customFormat="false" ht="15" hidden="false" customHeight="false" outlineLevel="0" collapsed="false">
      <c r="A3" s="8" t="s">
        <v>46</v>
      </c>
      <c r="B3" s="8" t="n">
        <f aca="false">COUNTIF(Tracker!N2:N21,"Waiting on build")</f>
        <v>5</v>
      </c>
    </row>
    <row r="4" customFormat="false" ht="15" hidden="false" customHeight="false" outlineLevel="0" collapsed="false">
      <c r="A4" s="8" t="s">
        <v>32</v>
      </c>
      <c r="B4" s="8" t="n">
        <f aca="false">COUNTIF(Tracker!N2:N21,"Ready to review")</f>
        <v>15</v>
      </c>
    </row>
    <row r="5" customFormat="false" ht="15" hidden="false" customHeight="false" outlineLevel="0" collapsed="false">
      <c r="A5" s="8" t="s">
        <v>253</v>
      </c>
      <c r="B5" s="8" t="n">
        <f aca="false">COUNTIF(Tracker!N2:N21,"Verified")</f>
        <v>0</v>
      </c>
    </row>
    <row r="6" customFormat="false" ht="15" hidden="false" customHeight="false" outlineLevel="0" collapsed="false">
      <c r="A6" s="8" t="s">
        <v>254</v>
      </c>
      <c r="B6" s="8" t="n">
        <f aca="false">COUNTIF(Tracker!N2:N21,"Sent")</f>
        <v>0</v>
      </c>
    </row>
    <row r="7" customFormat="false" ht="15" hidden="false" customHeight="false" outlineLevel="0" collapsed="false">
      <c r="A7" s="8" t="s">
        <v>255</v>
      </c>
      <c r="B7" s="8" t="n">
        <f aca="false">COUNTIF(Tracker!N2:N21,"Followed up")</f>
        <v>0</v>
      </c>
    </row>
    <row r="8" customFormat="false" ht="15" hidden="false" customHeight="false" outlineLevel="0" collapsed="false">
      <c r="A8" s="8" t="s">
        <v>256</v>
      </c>
      <c r="B8" s="8" t="n">
        <f aca="false">COUNTIF(Tracker!N2:N21,"Replied")</f>
        <v>0</v>
      </c>
    </row>
    <row r="9" customFormat="false" ht="15" hidden="false" customHeight="false" outlineLevel="0" collapsed="false">
      <c r="A9" s="8" t="s">
        <v>257</v>
      </c>
      <c r="B9" s="8" t="n">
        <f aca="false">COUNTIF(Tracker!N2:N21,"Call scheduled")</f>
        <v>0</v>
      </c>
    </row>
    <row r="10" customFormat="false" ht="15" hidden="false" customHeight="false" outlineLevel="0" collapsed="false">
      <c r="A10" s="8" t="s">
        <v>258</v>
      </c>
      <c r="B10" s="8" t="n">
        <f aca="false">COUNTIF(Tracker!N2:N21,"No reply")</f>
        <v>0</v>
      </c>
    </row>
    <row r="11" customFormat="false" ht="15" hidden="false" customHeight="false" outlineLevel="0" collapsed="false">
      <c r="A11" s="8" t="s">
        <v>259</v>
      </c>
      <c r="B11" s="8" t="n">
        <f aca="false">COUNTIF(Tracker!N2:N21,"Skip")</f>
        <v>0</v>
      </c>
    </row>
    <row r="12" customFormat="false" ht="15" hidden="false" customHeight="false" outlineLevel="0" collapsed="false">
      <c r="A12" s="8"/>
      <c r="B12" s="8"/>
    </row>
    <row r="13" customFormat="false" ht="15" hidden="false" customHeight="false" outlineLevel="0" collapsed="false">
      <c r="A13" s="8" t="s">
        <v>260</v>
      </c>
      <c r="B13" s="8" t="n">
        <f aca="false">COUNTIF(Tracker!D2:D21,"A")</f>
        <v>5</v>
      </c>
    </row>
    <row r="14" customFormat="false" ht="15" hidden="false" customHeight="false" outlineLevel="0" collapsed="false">
      <c r="A14" s="8" t="s">
        <v>261</v>
      </c>
      <c r="B14" s="8" t="n">
        <f aca="false">COUNTIF(Tracker!D2:D21,"B")</f>
        <v>8</v>
      </c>
    </row>
    <row r="15" customFormat="false" ht="15" hidden="false" customHeight="false" outlineLevel="0" collapsed="false">
      <c r="A15" s="8" t="s">
        <v>262</v>
      </c>
      <c r="B15" s="8" t="n">
        <f aca="false">COUNTIF(Tracker!D2:D21,"C")</f>
        <v>7</v>
      </c>
    </row>
    <row r="16" customFormat="false" ht="15" hidden="false" customHeight="false" outlineLevel="0" collapsed="false">
      <c r="A16" s="8"/>
      <c r="B16" s="8"/>
    </row>
    <row r="17" customFormat="false" ht="15" hidden="false" customHeight="false" outlineLevel="0" collapsed="false">
      <c r="A17" s="8" t="s">
        <v>263</v>
      </c>
      <c r="B17" s="9" t="str">
        <f aca="false">IFERROR((B8+B9)/(B6+B7+B8+B9+B10),"-")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8" t="s">
        <v>264</v>
      </c>
    </row>
    <row r="2" customFormat="false" ht="15" hidden="false" customHeight="false" outlineLevel="0" collapsed="false">
      <c r="A2" s="8" t="s">
        <v>265</v>
      </c>
    </row>
    <row r="3" customFormat="false" ht="15" hidden="false" customHeight="false" outlineLevel="0" collapsed="false">
      <c r="A3" s="8" t="s">
        <v>266</v>
      </c>
    </row>
    <row r="4" customFormat="false" ht="15" hidden="false" customHeight="false" outlineLevel="0" collapsed="false">
      <c r="A4" s="8" t="s">
        <v>267</v>
      </c>
    </row>
    <row r="5" customFormat="false" ht="15" hidden="false" customHeight="false" outlineLevel="0" collapsed="false">
      <c r="A5" s="8" t="s">
        <v>268</v>
      </c>
    </row>
    <row r="6" customFormat="false" ht="15" hidden="false" customHeight="false" outlineLevel="0" collapsed="false">
      <c r="A6" s="8" t="s">
        <v>269</v>
      </c>
    </row>
    <row r="7" customFormat="false" ht="15" hidden="false" customHeight="false" outlineLevel="0" collapsed="false">
      <c r="A7" s="8" t="s">
        <v>270</v>
      </c>
    </row>
    <row r="8" customFormat="false" ht="15" hidden="false" customHeight="false" outlineLevel="0" collapsed="false">
      <c r="A8" s="8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2026-10-16T21:27:03Z</dcterms:created>
  <dc:creator>openpyxl</dc:creator>
  <dc:description/>
  <dc:language>en-US</dc:language>
  <cp:lastModifiedBy/>
  <dcterms:modified xsi:type="dcterms:W3CDTF">2026-10-16T21:27:03Z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