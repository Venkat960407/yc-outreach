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Tracker!$A$1:$V$21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<sst xmlns="http://schemas.openxmlformats.org/spreadsheetml/2006/main" count="350" uniqueCount="271">
  <si>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</si>
  <si>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</si>
  <si>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</si>
  <si>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</si>
  <si>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</si>
  <si>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</si>
  <si>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</si>
  <si>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</si>
  <si>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</si>
  <si>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</si>
  <si>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</si>
  <si>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</si>
  <si>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</si>
  <si>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</si>
  <si>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</si>
  <si>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</si>
  <si>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</si>
  <si>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</si>
  <si>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</si>
  <si>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</si>
  <si>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</si>
  <si>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</si>
  <si>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</si>
  <si>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</si>
  <si>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</si>
  <si>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</si>
  <si>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</si>
  <si>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</si>
  <si>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</si>
  <si>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</si>
  <si>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</si>
  <si>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</si>
  <si>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Ready to review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</si>
  <si>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</si>
  <si>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</si>
  <si>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</si>
  <si>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</si>
  <si>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Polymath Robotics</t>
  </si>
  <si>
    <t xml:space="preserve">Ilia Baranov</t>
  </si>
  <si>
    <t xml:space="preserve">ilia@polymathrobotics.com</t>
  </si>
  <si>
    <t xml:space="preserve">guess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</si>
  <si>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</si>
  <si>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</si>
  <si>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</si>
  <si>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</si>
  <si>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</si>
  <si>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</si>
  <si>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</si>
  <si>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</si>
  <si>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</si>
  <si>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</si>
  <si>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</si>
  <si>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</si>
  <si>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</si>
  <si>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builds/innate-odom-check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</si>
  <si>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</si>
  <si>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</si>
  <si>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</si>
  <si>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</si>
  <si>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</si>
  <si>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</si>
  <si>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</si>
  <si>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</si>
  <si>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</si>
  <si>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</si>
  <si>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</si>
  <si>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</si>
  <si>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builds/almond-axol-workspace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</si>
  <si>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</si>
  <si>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</si>
  <si>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</si>
  <si>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</si>
  <si>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</si>
  <si>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</si>
  <si>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</si>
  <si>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</si>
  <si>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</si>
  <si>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</si>
  <si>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</si>
  <si>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builds/morphoai-homepage-draft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</si>
  <si>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</si>
  <si>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</si>
  <si>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</si>
  <si>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</si>
  <si>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</si>
  <si>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OS3</t>
  </si>
  <si>
    <t xml:space="preserve">Rishabh Chanana</t>
  </si>
  <si>
    <t xml:space="preserve">Founder</t>
  </si>
  <si>
    <t xml:space="preserve">rishabh@os3robotics.com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</si>
  <si>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</si>
  <si>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</si>
  <si>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</si>
  <si>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</si>
  <si>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</si>
  <si>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</si>
  <si>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</si>
  <si>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</si>
  <si>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</si>
  <si>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</si>
  <si>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</si>
  <si>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</si>
  <si>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</si>
  <si>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</si>
  <si>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</si>
  <si>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</si>
  <si>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</si>
  <si>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</si>
  <si>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</si>
  <si>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Lightberry</t>
  </si>
  <si>
    <t xml:space="preserve">Stephan Koenigstorfer</t>
  </si>
  <si>
    <t xml:space="preserve">stephan@lightberry.com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</si>
  <si>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</si>
  <si>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</si>
  <si>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</si>
  <si>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</si>
  <si>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</si>
  <si>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</si>
  <si>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</si>
  <si>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</si>
  <si>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</si>
  <si>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</si>
  <si>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</si>
  <si>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</si>
  <si>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</si>
  <si>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</si>
  <si>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</si>
  <si>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</si>
  <si>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</si>
  <si>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</si>
  <si>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Saphira AI</t>
  </si>
  <si>
    <t xml:space="preserve">Akshay Chalana</t>
  </si>
  <si>
    <t xml:space="preserve">akshay@saphira.ai</t>
  </si>
  <si>
    <t xml:space="preserve">guess (public: contact@saphira.ai)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</si>
  <si>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</si>
  <si>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</si>
  <si>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</si>
  <si>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</si>
  <si>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</si>
  <si>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</si>
  <si>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</si>
  <si>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Yondu</t>
  </si>
  <si>
    <t xml:space="preserve">Michael Chen</t>
  </si>
  <si>
    <t xml:space="preserve">michael@yondu.ai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</si>
  <si>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</si>
  <si>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</si>
  <si>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</si>
  <si>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</si>
  <si>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</si>
  <si>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</si>
  <si>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</si>
  <si>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</si>
  <si>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Ultra</t>
  </si>
  <si>
    <t xml:space="preserve">Oliver Ortlieb</t>
  </si>
  <si>
    <t xml:space="preserve">oliver@ultra.tech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</si>
  <si>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</si>
  <si>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</si>
  <si>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</si>
  <si>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</si>
  <si>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</si>
  <si>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</si>
  <si>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</si>
  <si>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</si>
  <si>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</si>
  <si>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</si>
  <si>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</si>
  <si>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</si>
  <si>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</si>
  <si>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</si>
  <si>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</si>
  <si>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</si>
  <si>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</si>
  <si>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</si>
  <si>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</si>
  <si>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</si>
  <si>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</si>
  <si>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</si>
  <si>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</si>
  <si>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</si>
  <si>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</si>
  <si>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</si>
  <si>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</si>
  <si>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</si>
  <si>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</si>
  <si>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</si>
  <si>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</si>
  <si>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</si>
  <si>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</si>
  <si>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</si>
  <si>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</si>
  <si>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</si>
  <si>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</si>
  <si>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</si>
  <si>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</si>
  <si>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</si>
  <si>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</si>
  <si>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</si>
  <si>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</si>
  <si>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builds/revise-laptop-grader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</si>
  <si>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</si>
  <si>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</si>
  <si>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</si>
  <si>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</si>
  <si>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</si>
  <si>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</si>
  <si>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</si>
  <si>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</si>
  <si>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</si>
  <si>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</si>
  <si>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</si>
  <si>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</si>
  <si>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</si>
  <si>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</si>
  <si>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</si>
  <si>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</si>
  <si>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</si>
  <si>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</si>
  <si>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</si>
  <si>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</si>
  <si>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</si>
  <si>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</si>
  <si>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</si>
  <si>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</si>
  <si>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</si>
  <si>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</si>
  <si>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</si>
  <si>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</si>
  <si>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</si>
  <si>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</si>
  <si>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</si>
  <si>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</si>
  <si>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</si>
  <si>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</si>
  <si>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</si>
  <si>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</si>
  <si>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</si>
  <si>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</si>
  <si>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</si>
  <si>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</si>
  <si>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</si>
  <si>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</si>
  <si>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</si>
  <si>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</si>
  <si>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</si>
  <si>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</si>
  <si>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</si>
  <si>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</si>
  <si>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</si>
  <si>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</si>
  <si>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</si>
  <si>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</si>
  <si>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</si>
  <si>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</si>
  <si>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</si>
  <si>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Sent</t>
  </si>
  <si>
    <t xml:space="preserve">Followed up</t>
  </si>
  <si>
    <t xml:space="preserve">Replied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</si>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</sst>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/>
      <c r="L2" s="2" t="s">
        <v>30</v>
      </c>
      <c r="M2" s="2" t="s">
        <v>31</v>
      </c>
      <c r="N2" s="3" t="s">
        <v>32</v>
      </c>
      <c r="O2" s="4"/>
      <c r="P2" s="5" t="str">
        <f aca="false">IF(O2="","",IF(Q2&lt;&gt;"","done",O2+6))</f>
        <v/>
      </c>
      <c r="Q2" s="4"/>
      <c r="R2" s="3"/>
      <c r="S2" s="3" t="s">
        <v>33</v>
      </c>
      <c r="T2" s="2" t="s">
        <v>34</v>
      </c>
      <c r="U2" s="6" t="s">
        <v>35</v>
      </c>
      <c r="V2" s="6" t="s">
        <v>36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37</v>
      </c>
      <c r="D3" s="2" t="s">
        <v>23</v>
      </c>
      <c r="E3" s="2" t="s">
        <v>38</v>
      </c>
      <c r="F3" s="2" t="s">
        <v>25</v>
      </c>
      <c r="G3" s="2" t="s">
        <v>39</v>
      </c>
      <c r="H3" s="2" t="s">
        <v>40</v>
      </c>
      <c r="I3" s="2" t="s">
        <v>41</v>
      </c>
      <c r="J3" s="2" t="s">
        <v>42</v>
      </c>
      <c r="K3" s="2"/>
      <c r="L3" s="2" t="s">
        <v>30</v>
      </c>
      <c r="M3" s="2" t="s">
        <v>43</v>
      </c>
      <c r="N3" s="3" t="s">
        <v>32</v>
      </c>
      <c r="O3" s="4"/>
      <c r="P3" s="5" t="str">
        <f aca="false">IF(O3="","",IF(Q3&lt;&gt;"","done",O3+6))</f>
        <v/>
      </c>
      <c r="Q3" s="4"/>
      <c r="R3" s="3"/>
      <c r="S3" s="3" t="s">
        <v>44</v>
      </c>
      <c r="T3" s="2" t="s">
        <v>45</v>
      </c>
      <c r="U3" s="6" t="s">
        <v>46</v>
      </c>
      <c r="V3" s="6" t="s">
        <v>47</v>
      </c>
    </row>
    <row r="4" customFormat="false" ht="46.25" hidden="false" customHeight="false" outlineLevel="0" collapsed="false">
      <c r="A4" s="2" t="n">
        <v>3</v>
      </c>
      <c r="B4" s="2" t="n">
        <v>1</v>
      </c>
      <c r="C4" s="2" t="s">
        <v>48</v>
      </c>
      <c r="D4" s="2" t="s">
        <v>49</v>
      </c>
      <c r="E4" s="2" t="s">
        <v>50</v>
      </c>
      <c r="F4" s="2" t="s">
        <v>25</v>
      </c>
      <c r="G4" s="2" t="s">
        <v>51</v>
      </c>
      <c r="H4" s="2" t="s">
        <v>40</v>
      </c>
      <c r="I4" s="2" t="s">
        <v>52</v>
      </c>
      <c r="J4" s="2" t="s">
        <v>53</v>
      </c>
      <c r="K4" s="2" t="s">
        <v>54</v>
      </c>
      <c r="L4" s="2" t="s">
        <v>30</v>
      </c>
      <c r="M4" s="2" t="s">
        <v>55</v>
      </c>
      <c r="N4" s="3" t="s">
        <v>32</v>
      </c>
      <c r="O4" s="4"/>
      <c r="P4" s="5" t="str">
        <f aca="false">IF(O4="","",IF(Q4&lt;&gt;"","done",O4+6))</f>
        <v/>
      </c>
      <c r="Q4" s="4"/>
      <c r="R4" s="3"/>
      <c r="S4" s="3" t="s">
        <v>56</v>
      </c>
      <c r="T4" s="2" t="s">
        <v>57</v>
      </c>
      <c r="U4" s="6" t="s">
        <v>58</v>
      </c>
      <c r="V4" s="6" t="s">
        <v>59</v>
      </c>
    </row>
    <row r="5" customFormat="false" ht="35.05" hidden="false" customHeight="false" outlineLevel="0" collapsed="false">
      <c r="A5" s="2" t="n">
        <v>4</v>
      </c>
      <c r="B5" s="2" t="n">
        <v>1</v>
      </c>
      <c r="C5" s="2" t="s">
        <v>60</v>
      </c>
      <c r="D5" s="2" t="s">
        <v>49</v>
      </c>
      <c r="E5" s="2" t="s">
        <v>61</v>
      </c>
      <c r="F5" s="2" t="s">
        <v>62</v>
      </c>
      <c r="G5" s="2" t="s">
        <v>63</v>
      </c>
      <c r="H5" s="2" t="s">
        <v>64</v>
      </c>
      <c r="I5" s="2" t="s">
        <v>65</v>
      </c>
      <c r="J5" s="2" t="s">
        <v>66</v>
      </c>
      <c r="K5" s="2" t="s">
        <v>67</v>
      </c>
      <c r="L5" s="2" t="s">
        <v>30</v>
      </c>
      <c r="M5" s="2" t="s">
        <v>68</v>
      </c>
      <c r="N5" s="3" t="s">
        <v>32</v>
      </c>
      <c r="O5" s="4"/>
      <c r="P5" s="5" t="str">
        <f aca="false">IF(O5="","",IF(Q5&lt;&gt;"","done",O5+6))</f>
        <v/>
      </c>
      <c r="Q5" s="4"/>
      <c r="R5" s="3"/>
      <c r="S5" s="3" t="s">
        <v>69</v>
      </c>
      <c r="T5" s="2" t="s">
        <v>70</v>
      </c>
      <c r="U5" s="6" t="s">
        <v>71</v>
      </c>
      <c r="V5" s="6" t="s">
        <v>72</v>
      </c>
    </row>
    <row r="6" customFormat="false" ht="35.05" hidden="false" customHeight="false" outlineLevel="0" collapsed="false">
      <c r="A6" s="2" t="n">
        <v>5</v>
      </c>
      <c r="B6" s="2" t="n">
        <v>1</v>
      </c>
      <c r="C6" s="2" t="s">
        <v>73</v>
      </c>
      <c r="D6" s="2" t="s">
        <v>49</v>
      </c>
      <c r="E6" s="2" t="s">
        <v>74</v>
      </c>
      <c r="F6" s="2" t="s">
        <v>25</v>
      </c>
      <c r="G6" s="2" t="s">
        <v>75</v>
      </c>
      <c r="H6" s="2" t="s">
        <v>76</v>
      </c>
      <c r="I6" s="2" t="s">
        <v>77</v>
      </c>
      <c r="J6" s="2" t="s">
        <v>78</v>
      </c>
      <c r="K6" s="2" t="s">
        <v>79</v>
      </c>
      <c r="L6" s="2" t="s">
        <v>30</v>
      </c>
      <c r="M6" s="2" t="s">
        <v>80</v>
      </c>
      <c r="N6" s="3" t="s">
        <v>32</v>
      </c>
      <c r="O6" s="4"/>
      <c r="P6" s="5" t="str">
        <f aca="false">IF(O6="","",IF(Q6&lt;&gt;"","done",O6+6))</f>
        <v/>
      </c>
      <c r="Q6" s="4"/>
      <c r="R6" s="3"/>
      <c r="S6" s="3" t="s">
        <v>81</v>
      </c>
      <c r="T6" s="2" t="s">
        <v>82</v>
      </c>
      <c r="U6" s="6" t="s">
        <v>83</v>
      </c>
      <c r="V6" s="6" t="s">
        <v>84</v>
      </c>
    </row>
    <row r="7" customFormat="false" ht="46.25" hidden="false" customHeight="false" outlineLevel="0" collapsed="false">
      <c r="A7" s="2" t="n">
        <v>6</v>
      </c>
      <c r="B7" s="2" t="n">
        <v>1</v>
      </c>
      <c r="C7" s="2" t="s">
        <v>85</v>
      </c>
      <c r="D7" s="2" t="s">
        <v>23</v>
      </c>
      <c r="E7" s="2" t="s">
        <v>86</v>
      </c>
      <c r="F7" s="2" t="s">
        <v>87</v>
      </c>
      <c r="G7" s="2" t="s">
        <v>88</v>
      </c>
      <c r="H7" s="2" t="s">
        <v>40</v>
      </c>
      <c r="I7" s="2" t="s">
        <v>89</v>
      </c>
      <c r="J7" s="2" t="s">
        <v>90</v>
      </c>
      <c r="K7" s="2"/>
      <c r="L7" s="2" t="s">
        <v>30</v>
      </c>
      <c r="M7" s="2" t="s">
        <v>91</v>
      </c>
      <c r="N7" s="3" t="s">
        <v>32</v>
      </c>
      <c r="O7" s="4"/>
      <c r="P7" s="5" t="str">
        <f aca="false">IF(O7="","",IF(Q7&lt;&gt;"","done",O7+6))</f>
        <v/>
      </c>
      <c r="Q7" s="4"/>
      <c r="R7" s="3"/>
      <c r="S7" s="3" t="s">
        <v>92</v>
      </c>
      <c r="T7" s="2" t="s">
        <v>93</v>
      </c>
      <c r="U7" s="6" t="s">
        <v>94</v>
      </c>
      <c r="V7" s="6" t="s">
        <v>95</v>
      </c>
    </row>
    <row r="8" customFormat="false" ht="35.05" hidden="false" customHeight="false" outlineLevel="0" collapsed="false">
      <c r="A8" s="2" t="n">
        <v>7</v>
      </c>
      <c r="B8" s="2" t="n">
        <v>1</v>
      </c>
      <c r="C8" s="2" t="s">
        <v>96</v>
      </c>
      <c r="D8" s="2" t="s">
        <v>97</v>
      </c>
      <c r="E8" s="2" t="s">
        <v>98</v>
      </c>
      <c r="F8" s="2" t="s">
        <v>99</v>
      </c>
      <c r="G8" s="2" t="s">
        <v>100</v>
      </c>
      <c r="H8" s="2" t="s">
        <v>40</v>
      </c>
      <c r="I8" s="2" t="s">
        <v>101</v>
      </c>
      <c r="J8" s="2" t="s">
        <v>102</v>
      </c>
      <c r="K8" s="2"/>
      <c r="L8" s="2" t="s">
        <v>30</v>
      </c>
      <c r="M8" s="2" t="s">
        <v>103</v>
      </c>
      <c r="N8" s="3" t="s">
        <v>32</v>
      </c>
      <c r="O8" s="4"/>
      <c r="P8" s="5" t="str">
        <f aca="false">IF(O8="","",IF(Q8&lt;&gt;"","done",O8+6))</f>
        <v/>
      </c>
      <c r="Q8" s="4"/>
      <c r="R8" s="3"/>
      <c r="S8" s="3" t="s">
        <v>104</v>
      </c>
      <c r="T8" s="2" t="s">
        <v>105</v>
      </c>
      <c r="U8" s="6" t="s">
        <v>106</v>
      </c>
      <c r="V8" s="6" t="s">
        <v>107</v>
      </c>
    </row>
    <row r="9" customFormat="false" ht="46.25" hidden="false" customHeight="false" outlineLevel="0" collapsed="false">
      <c r="A9" s="2" t="n">
        <v>8</v>
      </c>
      <c r="B9" s="2" t="n">
        <v>1</v>
      </c>
      <c r="C9" s="2" t="s">
        <v>108</v>
      </c>
      <c r="D9" s="2" t="s">
        <v>23</v>
      </c>
      <c r="E9" s="2" t="s">
        <v>109</v>
      </c>
      <c r="F9" s="2" t="s">
        <v>25</v>
      </c>
      <c r="G9" s="2" t="s">
        <v>110</v>
      </c>
      <c r="H9" s="2" t="s">
        <v>40</v>
      </c>
      <c r="I9" s="2" t="s">
        <v>111</v>
      </c>
      <c r="J9" s="2" t="s">
        <v>112</v>
      </c>
      <c r="K9" s="2"/>
      <c r="L9" s="2" t="s">
        <v>113</v>
      </c>
      <c r="M9" s="2" t="s">
        <v>114</v>
      </c>
      <c r="N9" s="3" t="s">
        <v>32</v>
      </c>
      <c r="O9" s="4"/>
      <c r="P9" s="5" t="str">
        <f aca="false">IF(O9="","",IF(Q9&lt;&gt;"","done",O9+6))</f>
        <v/>
      </c>
      <c r="Q9" s="4"/>
      <c r="R9" s="3"/>
      <c r="S9" s="3" t="s">
        <v>115</v>
      </c>
      <c r="T9" s="2" t="s">
        <v>116</v>
      </c>
      <c r="U9" s="6" t="s">
        <v>117</v>
      </c>
      <c r="V9" s="6" t="s">
        <v>118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119</v>
      </c>
      <c r="D10" s="2" t="s">
        <v>97</v>
      </c>
      <c r="E10" s="2" t="s">
        <v>120</v>
      </c>
      <c r="F10" s="2" t="s">
        <v>99</v>
      </c>
      <c r="G10" s="2" t="s">
        <v>121</v>
      </c>
      <c r="H10" s="2" t="s">
        <v>40</v>
      </c>
      <c r="I10" s="2" t="s">
        <v>122</v>
      </c>
      <c r="J10" s="2" t="s">
        <v>123</v>
      </c>
      <c r="K10" s="2"/>
      <c r="L10" s="2" t="s">
        <v>30</v>
      </c>
      <c r="M10" s="2" t="s">
        <v>124</v>
      </c>
      <c r="N10" s="3" t="s">
        <v>32</v>
      </c>
      <c r="O10" s="4"/>
      <c r="P10" s="5" t="str">
        <f aca="false">IF(O10="","",IF(Q10&lt;&gt;"","done",O10+6))</f>
        <v/>
      </c>
      <c r="Q10" s="4"/>
      <c r="R10" s="3"/>
      <c r="S10" s="3" t="s">
        <v>125</v>
      </c>
      <c r="T10" s="2" t="s">
        <v>126</v>
      </c>
      <c r="U10" s="6" t="s">
        <v>127</v>
      </c>
      <c r="V10" s="6" t="s">
        <v>128</v>
      </c>
    </row>
    <row r="11" customFormat="false" ht="23.85" hidden="false" customHeight="false" outlineLevel="0" collapsed="false">
      <c r="A11" s="2" t="n">
        <v>10</v>
      </c>
      <c r="B11" s="2" t="n">
        <v>1</v>
      </c>
      <c r="C11" s="2" t="s">
        <v>129</v>
      </c>
      <c r="D11" s="2" t="s">
        <v>97</v>
      </c>
      <c r="E11" s="2" t="s">
        <v>130</v>
      </c>
      <c r="F11" s="2" t="s">
        <v>62</v>
      </c>
      <c r="G11" s="2" t="s">
        <v>131</v>
      </c>
      <c r="H11" s="2" t="s">
        <v>132</v>
      </c>
      <c r="I11" s="2" t="s">
        <v>133</v>
      </c>
      <c r="J11" s="2" t="s">
        <v>134</v>
      </c>
      <c r="K11" s="2"/>
      <c r="L11" s="2" t="s">
        <v>30</v>
      </c>
      <c r="M11" s="2" t="s">
        <v>135</v>
      </c>
      <c r="N11" s="3" t="s">
        <v>32</v>
      </c>
      <c r="O11" s="4"/>
      <c r="P11" s="5" t="str">
        <f aca="false">IF(O11="","",IF(Q11&lt;&gt;"","done",O11+6))</f>
        <v/>
      </c>
      <c r="Q11" s="4"/>
      <c r="R11" s="3"/>
      <c r="S11" s="3" t="s">
        <v>136</v>
      </c>
      <c r="T11" s="2" t="s">
        <v>137</v>
      </c>
      <c r="U11" s="6" t="s">
        <v>138</v>
      </c>
      <c r="V11" s="6" t="s">
        <v>139</v>
      </c>
    </row>
    <row r="12" customFormat="false" ht="35.05" hidden="false" customHeight="false" outlineLevel="0" collapsed="false">
      <c r="A12" s="2" t="n">
        <v>11</v>
      </c>
      <c r="B12" s="2" t="n">
        <v>1</v>
      </c>
      <c r="C12" s="2" t="s">
        <v>140</v>
      </c>
      <c r="D12" s="2" t="s">
        <v>23</v>
      </c>
      <c r="E12" s="2" t="s">
        <v>141</v>
      </c>
      <c r="F12" s="2" t="s">
        <v>99</v>
      </c>
      <c r="G12" s="2" t="s">
        <v>142</v>
      </c>
      <c r="H12" s="2" t="s">
        <v>143</v>
      </c>
      <c r="I12" s="2" t="s">
        <v>144</v>
      </c>
      <c r="J12" s="2" t="s">
        <v>145</v>
      </c>
      <c r="K12" s="2"/>
      <c r="L12" s="2" t="s">
        <v>30</v>
      </c>
      <c r="M12" s="2" t="s">
        <v>146</v>
      </c>
      <c r="N12" s="3" t="s">
        <v>32</v>
      </c>
      <c r="O12" s="4"/>
      <c r="P12" s="5" t="str">
        <f aca="false">IF(O12="","",IF(Q12&lt;&gt;"","done",O12+6))</f>
        <v/>
      </c>
      <c r="Q12" s="4"/>
      <c r="R12" s="3"/>
      <c r="S12" s="3" t="s">
        <v>147</v>
      </c>
      <c r="T12" s="2" t="s">
        <v>148</v>
      </c>
      <c r="U12" s="6" t="s">
        <v>149</v>
      </c>
      <c r="V12" s="6" t="s">
        <v>150</v>
      </c>
    </row>
    <row r="13" customFormat="false" ht="35.05" hidden="false" customHeight="false" outlineLevel="0" collapsed="false">
      <c r="A13" s="2" t="n">
        <v>12</v>
      </c>
      <c r="B13" s="2" t="n">
        <v>1</v>
      </c>
      <c r="C13" s="2" t="s">
        <v>151</v>
      </c>
      <c r="D13" s="2" t="s">
        <v>23</v>
      </c>
      <c r="E13" s="2" t="s">
        <v>152</v>
      </c>
      <c r="F13" s="2" t="s">
        <v>25</v>
      </c>
      <c r="G13" s="2" t="s">
        <v>153</v>
      </c>
      <c r="H13" s="2" t="s">
        <v>40</v>
      </c>
      <c r="I13" s="2" t="s">
        <v>154</v>
      </c>
      <c r="J13" s="2" t="s">
        <v>155</v>
      </c>
      <c r="K13" s="2"/>
      <c r="L13" s="2" t="s">
        <v>30</v>
      </c>
      <c r="M13" s="2" t="s">
        <v>156</v>
      </c>
      <c r="N13" s="3" t="s">
        <v>32</v>
      </c>
      <c r="O13" s="4"/>
      <c r="P13" s="5" t="str">
        <f aca="false">IF(O13="","",IF(Q13&lt;&gt;"","done",O13+6))</f>
        <v/>
      </c>
      <c r="Q13" s="4"/>
      <c r="R13" s="3"/>
      <c r="S13" s="3" t="s">
        <v>157</v>
      </c>
      <c r="T13" s="2" t="s">
        <v>158</v>
      </c>
      <c r="U13" s="6" t="s">
        <v>159</v>
      </c>
      <c r="V13" s="6" t="s">
        <v>160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161</v>
      </c>
      <c r="D14" s="2" t="s">
        <v>97</v>
      </c>
      <c r="E14" s="2" t="s">
        <v>162</v>
      </c>
      <c r="F14" s="2" t="s">
        <v>99</v>
      </c>
      <c r="G14" s="2" t="s">
        <v>163</v>
      </c>
      <c r="H14" s="2" t="s">
        <v>40</v>
      </c>
      <c r="I14" s="2" t="s">
        <v>164</v>
      </c>
      <c r="J14" s="2" t="s">
        <v>165</v>
      </c>
      <c r="K14" s="2"/>
      <c r="L14" s="2" t="s">
        <v>30</v>
      </c>
      <c r="M14" s="2" t="s">
        <v>166</v>
      </c>
      <c r="N14" s="3" t="s">
        <v>32</v>
      </c>
      <c r="O14" s="4"/>
      <c r="P14" s="5" t="str">
        <f aca="false">IF(O14="","",IF(Q14&lt;&gt;"","done",O14+6))</f>
        <v/>
      </c>
      <c r="Q14" s="4"/>
      <c r="R14" s="3"/>
      <c r="S14" s="3" t="s">
        <v>167</v>
      </c>
      <c r="T14" s="2" t="s">
        <v>168</v>
      </c>
      <c r="U14" s="6" t="s">
        <v>169</v>
      </c>
      <c r="V14" s="6" t="s">
        <v>170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171</v>
      </c>
      <c r="D15" s="2" t="s">
        <v>23</v>
      </c>
      <c r="E15" s="2" t="s">
        <v>172</v>
      </c>
      <c r="F15" s="2" t="s">
        <v>99</v>
      </c>
      <c r="G15" s="2" t="s">
        <v>173</v>
      </c>
      <c r="H15" s="2" t="s">
        <v>40</v>
      </c>
      <c r="I15" s="2" t="s">
        <v>174</v>
      </c>
      <c r="J15" s="2" t="s">
        <v>175</v>
      </c>
      <c r="K15" s="2"/>
      <c r="L15" s="2" t="s">
        <v>30</v>
      </c>
      <c r="M15" s="2" t="s">
        <v>176</v>
      </c>
      <c r="N15" s="3" t="s">
        <v>32</v>
      </c>
      <c r="O15" s="4"/>
      <c r="P15" s="5" t="str">
        <f aca="false">IF(O15="","",IF(Q15&lt;&gt;"","done",O15+6))</f>
        <v/>
      </c>
      <c r="Q15" s="4"/>
      <c r="R15" s="3"/>
      <c r="S15" s="3" t="s">
        <v>177</v>
      </c>
      <c r="T15" s="2" t="s">
        <v>178</v>
      </c>
      <c r="U15" s="6" t="s">
        <v>179</v>
      </c>
      <c r="V15" s="6" t="s">
        <v>180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181</v>
      </c>
      <c r="D16" s="2" t="s">
        <v>97</v>
      </c>
      <c r="E16" s="2" t="s">
        <v>182</v>
      </c>
      <c r="F16" s="2" t="s">
        <v>87</v>
      </c>
      <c r="G16" s="2" t="s">
        <v>183</v>
      </c>
      <c r="H16" s="2" t="s">
        <v>184</v>
      </c>
      <c r="I16" s="2" t="s">
        <v>185</v>
      </c>
      <c r="J16" s="2" t="s">
        <v>186</v>
      </c>
      <c r="K16" s="2"/>
      <c r="L16" s="2" t="s">
        <v>30</v>
      </c>
      <c r="M16" s="2" t="s">
        <v>187</v>
      </c>
      <c r="N16" s="3" t="s">
        <v>32</v>
      </c>
      <c r="O16" s="4"/>
      <c r="P16" s="5" t="str">
        <f aca="false">IF(O16="","",IF(Q16&lt;&gt;"","done",O16+6))</f>
        <v/>
      </c>
      <c r="Q16" s="4"/>
      <c r="R16" s="3"/>
      <c r="S16" s="3" t="s">
        <v>188</v>
      </c>
      <c r="T16" s="2" t="s">
        <v>189</v>
      </c>
      <c r="U16" s="6" t="s">
        <v>190</v>
      </c>
      <c r="V16" s="6" t="s">
        <v>191</v>
      </c>
    </row>
    <row r="17" customFormat="false" ht="35.05" hidden="false" customHeight="false" outlineLevel="0" collapsed="false">
      <c r="A17" s="2" t="n">
        <v>16</v>
      </c>
      <c r="B17" s="2" t="n">
        <v>1</v>
      </c>
      <c r="C17" s="2" t="s">
        <v>192</v>
      </c>
      <c r="D17" s="2" t="s">
        <v>49</v>
      </c>
      <c r="E17" s="2" t="s">
        <v>193</v>
      </c>
      <c r="F17" s="2" t="s">
        <v>99</v>
      </c>
      <c r="G17" s="2" t="s">
        <v>194</v>
      </c>
      <c r="H17" s="2" t="s">
        <v>40</v>
      </c>
      <c r="I17" s="2" t="s">
        <v>195</v>
      </c>
      <c r="J17" s="2" t="s">
        <v>196</v>
      </c>
      <c r="K17" s="2" t="s">
        <v>197</v>
      </c>
      <c r="L17" s="2" t="s">
        <v>30</v>
      </c>
      <c r="M17" s="2" t="s">
        <v>198</v>
      </c>
      <c r="N17" s="3" t="s">
        <v>32</v>
      </c>
      <c r="O17" s="4"/>
      <c r="P17" s="5" t="str">
        <f aca="false">IF(O17="","",IF(Q17&lt;&gt;"","done",O17+6))</f>
        <v/>
      </c>
      <c r="Q17" s="4"/>
      <c r="R17" s="3"/>
      <c r="S17" s="3" t="s">
        <v>199</v>
      </c>
      <c r="T17" s="2" t="s">
        <v>200</v>
      </c>
      <c r="U17" s="6" t="s">
        <v>201</v>
      </c>
      <c r="V17" s="6" t="s">
        <v>202</v>
      </c>
    </row>
    <row r="18" customFormat="false" ht="23.85" hidden="false" customHeight="false" outlineLevel="0" collapsed="false">
      <c r="A18" s="2" t="n">
        <v>17</v>
      </c>
      <c r="B18" s="2" t="n">
        <v>1</v>
      </c>
      <c r="C18" s="2" t="s">
        <v>203</v>
      </c>
      <c r="D18" s="2" t="s">
        <v>23</v>
      </c>
      <c r="E18" s="2" t="s">
        <v>204</v>
      </c>
      <c r="F18" s="2" t="s">
        <v>87</v>
      </c>
      <c r="G18" s="2" t="s">
        <v>205</v>
      </c>
      <c r="H18" s="2" t="s">
        <v>206</v>
      </c>
      <c r="I18" s="2" t="s">
        <v>207</v>
      </c>
      <c r="J18" s="2" t="s">
        <v>208</v>
      </c>
      <c r="K18" s="2"/>
      <c r="L18" s="2" t="s">
        <v>30</v>
      </c>
      <c r="M18" s="2" t="s">
        <v>209</v>
      </c>
      <c r="N18" s="3" t="s">
        <v>32</v>
      </c>
      <c r="O18" s="4"/>
      <c r="P18" s="5" t="str">
        <f aca="false">IF(O18="","",IF(Q18&lt;&gt;"","done",O18+6))</f>
        <v/>
      </c>
      <c r="Q18" s="4"/>
      <c r="R18" s="3"/>
      <c r="S18" s="3" t="s">
        <v>210</v>
      </c>
      <c r="T18" s="2" t="s">
        <v>211</v>
      </c>
      <c r="U18" s="6" t="s">
        <v>212</v>
      </c>
      <c r="V18" s="6" t="s">
        <v>213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214</v>
      </c>
      <c r="D19" s="2" t="s">
        <v>23</v>
      </c>
      <c r="E19" s="2" t="s">
        <v>215</v>
      </c>
      <c r="F19" s="2" t="s">
        <v>216</v>
      </c>
      <c r="G19" s="2" t="s">
        <v>217</v>
      </c>
      <c r="H19" s="2" t="s">
        <v>40</v>
      </c>
      <c r="I19" s="2" t="s">
        <v>218</v>
      </c>
      <c r="J19" s="2" t="s">
        <v>219</v>
      </c>
      <c r="K19" s="2"/>
      <c r="L19" s="2" t="s">
        <v>30</v>
      </c>
      <c r="M19" s="2" t="s">
        <v>220</v>
      </c>
      <c r="N19" s="3" t="s">
        <v>32</v>
      </c>
      <c r="O19" s="4"/>
      <c r="P19" s="5" t="str">
        <f aca="false">IF(O19="","",IF(Q19&lt;&gt;"","done",O19+6))</f>
        <v/>
      </c>
      <c r="Q19" s="4"/>
      <c r="R19" s="3"/>
      <c r="S19" s="3" t="s">
        <v>221</v>
      </c>
      <c r="T19" s="2" t="s">
        <v>222</v>
      </c>
      <c r="U19" s="6" t="s">
        <v>223</v>
      </c>
      <c r="V19" s="6" t="s">
        <v>224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225</v>
      </c>
      <c r="D20" s="2" t="s">
        <v>97</v>
      </c>
      <c r="E20" s="2" t="s">
        <v>226</v>
      </c>
      <c r="F20" s="2" t="s">
        <v>227</v>
      </c>
      <c r="G20" s="2" t="s">
        <v>228</v>
      </c>
      <c r="H20" s="2" t="s">
        <v>40</v>
      </c>
      <c r="I20" s="2" t="s">
        <v>229</v>
      </c>
      <c r="J20" s="2" t="s">
        <v>230</v>
      </c>
      <c r="K20" s="2"/>
      <c r="L20" s="2" t="s">
        <v>113</v>
      </c>
      <c r="M20" s="2" t="s">
        <v>231</v>
      </c>
      <c r="N20" s="3" t="s">
        <v>32</v>
      </c>
      <c r="O20" s="4"/>
      <c r="P20" s="5" t="str">
        <f aca="false">IF(O20="","",IF(Q20&lt;&gt;"","done",O20+6))</f>
        <v/>
      </c>
      <c r="Q20" s="4"/>
      <c r="R20" s="3"/>
      <c r="S20" s="3" t="s">
        <v>232</v>
      </c>
      <c r="T20" s="2" t="s">
        <v>233</v>
      </c>
      <c r="U20" s="6" t="s">
        <v>234</v>
      </c>
      <c r="V20" s="6" t="s">
        <v>235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236</v>
      </c>
      <c r="D21" s="2" t="s">
        <v>97</v>
      </c>
      <c r="E21" s="2" t="s">
        <v>237</v>
      </c>
      <c r="F21" s="2" t="s">
        <v>238</v>
      </c>
      <c r="G21" s="2" t="s">
        <v>239</v>
      </c>
      <c r="H21" s="2" t="s">
        <v>40</v>
      </c>
      <c r="I21" s="2" t="s">
        <v>240</v>
      </c>
      <c r="J21" s="2" t="s">
        <v>241</v>
      </c>
      <c r="K21" s="2"/>
      <c r="L21" s="2" t="s">
        <v>242</v>
      </c>
      <c r="M21" s="2" t="s">
        <v>243</v>
      </c>
      <c r="N21" s="3" t="s">
        <v>32</v>
      </c>
      <c r="O21" s="4"/>
      <c r="P21" s="5" t="str">
        <f aca="false">IF(O21="","",IF(Q21&lt;&gt;"","done",O21+6))</f>
        <v/>
      </c>
      <c r="Q21" s="4"/>
      <c r="R21" s="3"/>
      <c r="S21" s="3" t="s">
        <v>244</v>
      </c>
      <c r="T21" s="2" t="s">
        <v>245</v>
      </c>
      <c r="U21" s="6" t="s">
        <v>246</v>
      </c>
      <c r="V21" s="6" t="s">
        <v>247</v>
      </c>
    </row>
  </sheetData>
  <autoFilter ref="A1:V21"/>
  <dataValidations count="1">
    <dataValidation allowBlank="true" errorStyle="stop" operator="between" showDropDown="false" showErrorMessage="false" showInputMessage="false" sqref="N2:N2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248</v>
      </c>
      <c r="B1" s="7" t="s">
        <v>249</v>
      </c>
    </row>
    <row r="2" customFormat="false" ht="15" hidden="false" customHeight="false" outlineLevel="0" collapsed="false">
      <c r="A2" s="8" t="s">
        <v>250</v>
      </c>
      <c r="B2" s="8" t="n">
        <f aca="false">COUNTA(Tracker!C2:C21)</f>
        <v>20</v>
      </c>
    </row>
    <row r="3" customFormat="false" ht="15" hidden="false" customHeight="false" outlineLevel="0" collapsed="false">
      <c r="A3" s="8" t="s">
        <v>251</v>
      </c>
      <c r="B3" s="8" t="n">
        <f aca="false">COUNTIF(Tracker!N2:N21,"Waiting on build")</f>
        <v>0</v>
      </c>
    </row>
    <row r="4" customFormat="false" ht="15" hidden="false" customHeight="false" outlineLevel="0" collapsed="false">
      <c r="A4" s="8" t="s">
        <v>32</v>
      </c>
      <c r="B4" s="8" t="n">
        <f aca="false">COUNTIF(Tracker!N2:N21,"Ready to review")</f>
        <v>20</v>
      </c>
    </row>
    <row r="5" customFormat="false" ht="15" hidden="false" customHeight="false" outlineLevel="0" collapsed="false">
      <c r="A5" s="8" t="s">
        <v>252</v>
      </c>
      <c r="B5" s="8" t="n">
        <f aca="false">COUNTIF(Tracker!N2:N21,"Verified")</f>
        <v>0</v>
      </c>
    </row>
    <row r="6" customFormat="false" ht="15" hidden="false" customHeight="false" outlineLevel="0" collapsed="false">
      <c r="A6" s="8" t="s">
        <v>253</v>
      </c>
      <c r="B6" s="8" t="n">
        <f aca="false">COUNTIF(Tracker!N2:N21,"Sent")</f>
        <v>0</v>
      </c>
    </row>
    <row r="7" customFormat="false" ht="15" hidden="false" customHeight="false" outlineLevel="0" collapsed="false">
      <c r="A7" s="8" t="s">
        <v>254</v>
      </c>
      <c r="B7" s="8" t="n">
        <f aca="false">COUNTIF(Tracker!N2:N21,"Followed up")</f>
        <v>0</v>
      </c>
    </row>
    <row r="8" customFormat="false" ht="15" hidden="false" customHeight="false" outlineLevel="0" collapsed="false">
      <c r="A8" s="8" t="s">
        <v>255</v>
      </c>
      <c r="B8" s="8" t="n">
        <f aca="false">COUNTIF(Tracker!N2:N21,"Replied")</f>
        <v>0</v>
      </c>
    </row>
    <row r="9" customFormat="false" ht="15" hidden="false" customHeight="false" outlineLevel="0" collapsed="false">
      <c r="A9" s="8" t="s">
        <v>256</v>
      </c>
      <c r="B9" s="8" t="n">
        <f aca="false">COUNTIF(Tracker!N2:N21,"Call scheduled")</f>
        <v>0</v>
      </c>
    </row>
    <row r="10" customFormat="false" ht="15" hidden="false" customHeight="false" outlineLevel="0" collapsed="false">
      <c r="A10" s="8" t="s">
        <v>257</v>
      </c>
      <c r="B10" s="8" t="n">
        <f aca="false">COUNTIF(Tracker!N2:N21,"No reply")</f>
        <v>0</v>
      </c>
    </row>
    <row r="11" customFormat="false" ht="15" hidden="false" customHeight="false" outlineLevel="0" collapsed="false">
      <c r="A11" s="8" t="s">
        <v>258</v>
      </c>
      <c r="B11" s="8" t="n">
        <f aca="false">COUNTIF(Tracker!N2:N21,"Skip")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259</v>
      </c>
      <c r="B13" s="8" t="n">
        <f aca="false">COUNTIF(Tracker!D2:D21,"A")</f>
        <v>4</v>
      </c>
    </row>
    <row r="14" customFormat="false" ht="15" hidden="false" customHeight="false" outlineLevel="0" collapsed="false">
      <c r="A14" s="8" t="s">
        <v>260</v>
      </c>
      <c r="B14" s="8" t="n">
        <f aca="false">COUNTIF(Tracker!D2:D21,"B")</f>
        <v>9</v>
      </c>
    </row>
    <row r="15" customFormat="false" ht="15" hidden="false" customHeight="false" outlineLevel="0" collapsed="false">
      <c r="A15" s="8" t="s">
        <v>261</v>
      </c>
      <c r="B15" s="8" t="n">
        <f aca="false">COUNTIF(Tracker!D2:D21,"C")</f>
        <v>7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262</v>
      </c>
      <c r="B17" s="9" t="str">
        <f aca="false">IFERROR((B8+B9)/(B6+B7+B8+B9+B10),"-")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263</v>
      </c>
    </row>
    <row r="2" customFormat="false" ht="15" hidden="false" customHeight="false" outlineLevel="0" collapsed="false">
      <c r="A2" s="8" t="s">
        <v>264</v>
      </c>
    </row>
    <row r="3" customFormat="false" ht="15" hidden="false" customHeight="false" outlineLevel="0" collapsed="false">
      <c r="A3" s="8" t="s">
        <v>265</v>
      </c>
    </row>
    <row r="4" customFormat="false" ht="15" hidden="false" customHeight="false" outlineLevel="0" collapsed="false">
      <c r="A4" s="8" t="s">
        <v>266</v>
      </c>
    </row>
    <row r="5" customFormat="false" ht="15" hidden="false" customHeight="false" outlineLevel="0" collapsed="false">
      <c r="A5" s="8" t="s">
        <v>267</v>
      </c>
    </row>
    <row r="6" customFormat="false" ht="15" hidden="false" customHeight="false" outlineLevel="0" collapsed="false">
      <c r="A6" s="8" t="s">
        <v>268</v>
      </c>
    </row>
    <row r="7" customFormat="false" ht="15" hidden="false" customHeight="false" outlineLevel="0" collapsed="false">
      <c r="A7" s="8" t="s">
        <v>269</v>
      </c>
    </row>
    <row r="8" customFormat="false" ht="15" hidden="false" customHeight="false" outlineLevel="0" collapsed="false">
      <c r="A8" s="8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2026-10-16T22:00:27Z</dcterms:created>
  <dc:creator>openpyxl</dc:creator>
  <dc:description/>
  <dc:language>en-US</dc:language>
  <cp:lastModifiedBy/>
  <dcterms:modified xsi:type="dcterms:W3CDTF">2026-10-16T22:00:27Z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