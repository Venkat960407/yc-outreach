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  <sheet name="How to use" sheetId="3" state="visible" r:id="rId5"/>
  </sheets>
  <definedNames>
    <definedName function="false" hidden="true" localSheetId="0" name="_xlnm._FilterDatabase" vbProcedure="false">Tracker!$A$1:$AC$41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<sst xmlns="http://schemas.openxmlformats.org/spreadsheetml/2006/main" count="783" uniqueCount="551">
  <si>
    <t xml:space="preserve">#</t>
  </si>
  <si>
    <t xml:space="preserve">Batch</t>
  </si>
  <si>
    <t xml:space="preserve">Company</t>
  </si>
  <si>
    <t xml:space="preserve">Tier</t>
  </si>
  <si>
    <t xml:space="preserve">Contact</t>
  </si>
  <si>
    <t xml:space="preserve">Role</t>
  </si>
  <si>
    <t xml:space="preserve">Email</t>
  </si>
  <si>
    <t xml:space="preserve">Email status</t>
  </si>
  <si>
    <t xml:space="preserve">What they do</t>
  </si>
  <si>
    <t xml:space="preserve">Value item</t>
  </si>
  <si>
    <t xml:space="preserve">Build</t>
  </si>
  <si>
    <t xml:space="preserve">Proof used</t>
  </si>
  <si>
    <t xml:space="preserve">Subject</t>
  </si>
  <si>
    <t xml:space="preserve">Status</t>
  </si>
  <si>
    <t xml:space="preserve">Date sent</t>
  </si>
  <si>
    <t xml:space="preserve">Follow-up due</t>
  </si>
  <si>
    <t xml:space="preserve">Follow-up sent</t>
  </si>
  <si>
    <t xml:space="preserve">Response</t>
  </si>
  <si>
    <t xml:space="preserve">Notes</t>
  </si>
  <si>
    <t xml:space="preserve">Draft file</t>
  </si>
  <si>
    <t xml:space="preserve">Website</t>
  </si>
  <si>
    <t xml:space="preserve">YC page</t>
  </si>
  <si>
    <t xml:space="preserve">Draft To</t>
  </si>
  <si>
    <t xml:space="preserve">Draft BCC</t>
  </si>
  <si>
    <t xml:space="preserve">Domain</t>
  </si>
  <si>
    <t xml:space="preserve">Email confidence</t>
  </si>
  <si>
    <t xml:space="preserve">Email source</t>
  </si>
  <si>
    <t xml:space="preserve">Email checked</t>
  </si>
  <si>
    <t xml:space="preserve">Email candidates</t>
  </si>
  <si>
    <t xml:space="preserve">Theseus</t>
  </si>
  <si>
    <t xml:space="preserve">B</t>
  </si>
  <si>
    <t xml:space="preserve">Sacha Levy</t>
  </si>
  <si>
    <t xml:space="preserve">Co-founder &amp; CTO</t>
  </si>
  <si>
    <t xml:space="preserve">sacha@theseus.us</t>
  </si>
  <si>
    <t xml:space="preserve">guess (public: inbound@theseus.us)</t>
  </si>
  <si>
    <t xml:space="preserve">Camera-based drone navigation that works without GPS (Cyclops). Customers include US Special Forces.</t>
  </si>
  <si>
    <t xml:space="preserve">Site naming: the USSOCOM testimonial calls the product "VizNav" while the rest of the site says "Cyclops". Hero stats (1.1 km, 104 km, &lt;50 m) have no context on test conditions.</t>
  </si>
  <si>
    <t xml:space="preserve">VEX</t>
  </si>
  <si>
    <t xml:space="preserve">Small thing on the Cyclops page</t>
  </si>
  <si>
    <t xml:space="preserve">Sent</t>
  </si>
  <si>
    <t xml:space="preserve">Defense customer. Some roles may need US-person status (Venkat is US-born, so fine).</t>
  </si>
  <si>
    <t xml:space="preserve">companies/01-01-theseus.md</t>
  </si>
  <si>
    <t xml:space="preserve">https://theseus.us</t>
  </si>
  <si>
    <t xml:space="preserve">https://www.ycombinator.com/companies/theseus</t>
  </si>
  <si>
    <t xml:space="preserve">theseus.us</t>
  </si>
  <si>
    <t xml:space="preserve">pattern {first} from holden@theseus.us, ian@theseus.us</t>
  </si>
  <si>
    <t xml:space="preserve">2026-10-18 10:45</t>
  </si>
  <si>
    <t xml:space="preserve">sacha@theseus.us, sacha.levy@theseus.us, slevy@theseus.us, sachalevy@theseus.us, s.levy@theseus.us, sachal@theseus.us</t>
  </si>
  <si>
    <t xml:space="preserve">Polymath Robotics</t>
  </si>
  <si>
    <t xml:space="preserve">Ilia Baranov</t>
  </si>
  <si>
    <t xml:space="preserve">ilia@polymathrobotics.com</t>
  </si>
  <si>
    <t xml:space="preserve">found</t>
  </si>
  <si>
    <t xml:space="preserve">Autonomy software for industrial vehicles (tractors, mining trucks) controlled through a REST API. Free simulator called Caladan.</t>
  </si>
  <si>
    <t xml:space="preserve">API reference pages for /v2/relative-waypoints and /v2/polymath-feedback show no request or response fields (VERIFY in a browser: synapse.docs.polymathrobotics.dev/docs/api/relative-waypoints). Homepage tab title shows "Autonomy &amp;amp; Safety". Planned Caladan build was blocked: the API needs credentials from Polymath support.</t>
  </si>
  <si>
    <t xml:space="preserve">Two small things in the Synapse API docs</t>
  </si>
  <si>
    <t xml:space="preserve">Replied</t>
  </si>
  <si>
    <t xml:space="preserve">Oct 22, Ilia: Caladan is deprecated and they don't support non-company deployments. Suggested ROS 2 + Nav2 (docs.nav2.org) and The Construct. Polite no.</t>
  </si>
  <si>
    <t xml:space="preserve">Caladan is free and uses a REST API instead of ROS. Best build target in this batch.</t>
  </si>
  <si>
    <t xml:space="preserve">companies/01-02-polymath-robotics.md</t>
  </si>
  <si>
    <t xml:space="preserve">https://www.polymathrobotics.com</t>
  </si>
  <si>
    <t xml:space="preserve">https://www.ycombinator.com/companies/polymath-robotics</t>
  </si>
  <si>
    <t xml:space="preserve">polymathrobotics.com</t>
  </si>
  <si>
    <t xml:space="preserve">https://github.com/iliabaranov/rp2040-eth-keypad/commit/65c79007a22eb06245214527296f9995ad40dc4a</t>
  </si>
  <si>
    <t xml:space="preserve">2026-10-18 01:17</t>
  </si>
  <si>
    <t xml:space="preserve">ilia@polymathrobotics.com, ilia.baranov@polymathrobotics.com, ibaranov@polymathrobotics.com, iliabaranov@polymathrobotics.com, i.baranov@polymathrobotics.com, iliab@polymathrobotics.com</t>
  </si>
  <si>
    <t xml:space="preserve">Innate</t>
  </si>
  <si>
    <t xml:space="preserve">A</t>
  </si>
  <si>
    <t xml:space="preserve">Vignesh Anand</t>
  </si>
  <si>
    <t xml:space="preserve">vignesh@innate.bot</t>
  </si>
  <si>
    <t xml:space="preserve">Personal AI robot (MARS, $995) you teach with code, language, and demonstrations. Open-source Innate OS plus a browser simulator.</t>
  </si>
  <si>
    <t xml:space="preserve">BUILD (done): odometry-drift check skill for Innate OS. Bonus: site says "Teach MARS a task with one example" in one section and "Teach with a few examples" in another.</t>
  </si>
  <si>
    <t xml:space="preserve">DONE: github.com/Venkat960407/mars-odometry-check (odometry vs lidar drift check skill, tested on a fake robot, not on MARS/sim yet)</t>
  </si>
  <si>
    <t xml:space="preserve">Wrote an odometry-drift check skill for MARS</t>
  </si>
  <si>
    <t xml:space="preserve">Careers page says degrees don't matter. Strong fit.</t>
  </si>
  <si>
    <t xml:space="preserve">companies/01-03-innate.md</t>
  </si>
  <si>
    <t xml:space="preserve">https://innate.bot</t>
  </si>
  <si>
    <t xml:space="preserve">https://www.ycombinator.com/companies/innate</t>
  </si>
  <si>
    <t xml:space="preserve">innate.bot</t>
  </si>
  <si>
    <t xml:space="preserve">https://github.com/innate-inc/GraspGen/commit/5ba3a4adf4484055523d4a82be431abefb185b01</t>
  </si>
  <si>
    <t xml:space="preserve">vignesh@innate.bot, vignesh.anand@innate.bot, vanand@innate.bot, vigneshanand@innate.bot, v.anand@innate.bot, vignesha@innate.bot</t>
  </si>
  <si>
    <t xml:space="preserve">Almond</t>
  </si>
  <si>
    <t xml:space="preserve">Saba Khalilnaji</t>
  </si>
  <si>
    <t xml:space="preserve">Co-founder &amp; CEO</t>
  </si>
  <si>
    <t xml:space="preserve">saba@almond.bot</t>
  </si>
  <si>
    <t xml:space="preserve">guess (public: hello@almond.bot)</t>
  </si>
  <si>
    <t xml:space="preserve">Axol, a dual-arm robot for physical AI ($9,499) with an open-source Python SDK, IK, and VR teleop.</t>
  </si>
  <si>
    <t xml:space="preserve">BUILD (done): two-arm workspace map from the Axol URDF. Bonus: FAQ says two arms give "double the cycle time" of one arm, which reads like the opposite of what's meant (half the cycle time).</t>
  </si>
  <si>
    <t xml:space="preserve">DONE: github.com/Venkat960407/axol-workspace-map (bimanual reachability map from the SDK's URDF)</t>
  </si>
  <si>
    <t xml:space="preserve">Mapped Axol's two-arm workspace from your URDF</t>
  </si>
  <si>
    <t xml:space="preserve">Hiring Founding Robotics SWE. Ships from SF.</t>
  </si>
  <si>
    <t xml:space="preserve">companies/01-04-almond.md</t>
  </si>
  <si>
    <t xml:space="preserve">https://almond.bot</t>
  </si>
  <si>
    <t xml:space="preserve">https://www.ycombinator.com/companies/almond</t>
  </si>
  <si>
    <t xml:space="preserve">hello@almond.bot</t>
  </si>
  <si>
    <t xml:space="preserve">almond.bot</t>
  </si>
  <si>
    <t xml:space="preserve">prior {first} (11/11 indexed domains) (no personal addresses at this domain on site, DNS, YC, HN, Wayback, web or GitHub)</t>
  </si>
  <si>
    <t xml:space="preserve">saba@almond.bot, saba.khalilnaji@almond.bot, skhalilnaji@almond.bot, sabakhalilnaji@almond.bot, s.khalilnaji@almond.bot, sabak@almond.bot</t>
  </si>
  <si>
    <t xml:space="preserve">MorphoAI</t>
  </si>
  <si>
    <t xml:space="preserve">Andrew Spielberg</t>
  </si>
  <si>
    <t xml:space="preserve">andrew@morpho.ai</t>
  </si>
  <si>
    <t xml:space="preserve">guess (public: hello@morpho.ai)</t>
  </si>
  <si>
    <t xml:space="preserve">AI tool that generates, checks, and refines manufacturable designs for robots and machines. Backed by a 2.5M GBP ARIA grant.</t>
  </si>
  <si>
    <t xml:space="preserve">BUILD (done): morpho.ai currently shows only the company name, no product description. Draft a one-page landing page from their YC launch description.</t>
  </si>
  <si>
    <t xml:space="preserve">DONE: github.com/Venkat960407/morphoai-homepage-draft (one-page HTML, labeled unofficial)</t>
  </si>
  <si>
    <t xml:space="preserve">Drafted a homepage for morpho.ai</t>
  </si>
  <si>
    <t xml:space="preserve">Hiring is London-based. Site is a near-empty Squarespace page.</t>
  </si>
  <si>
    <t xml:space="preserve">companies/01-05-morphoai.md</t>
  </si>
  <si>
    <t xml:space="preserve">https://morpho.ai</t>
  </si>
  <si>
    <t xml:space="preserve">https://www.ycombinator.com/companies/morphoai</t>
  </si>
  <si>
    <t xml:space="preserve">hello@morpho.ai</t>
  </si>
  <si>
    <t xml:space="preserve">morpho.ai</t>
  </si>
  <si>
    <t xml:space="preserve">prior {first} (11/11 indexed domains) (no personal addresses at this domain on site, DNS, YC, HN, Wayback, web or GitHub) | also seen on: morphoai.com</t>
  </si>
  <si>
    <t xml:space="preserve">andrew@morpho.ai, andy@morpho.ai, andrew.spielberg@morpho.ai, aspielberg@morpho.ai, andrewspielberg@morpho.ai, a.spielberg@morpho.ai</t>
  </si>
  <si>
    <t xml:space="preserve">OS3</t>
  </si>
  <si>
    <t xml:space="preserve">Rishabh Chanana</t>
  </si>
  <si>
    <t xml:space="preserve">Founder</t>
  </si>
  <si>
    <t xml:space="preserve">rishabh@os3robotics.com</t>
  </si>
  <si>
    <t xml:space="preserve">guess</t>
  </si>
  <si>
    <t xml:space="preserve">Low-cost semi-humanoid robots (HALE 1.0). Developer units $14,995. First deployments in hotels.</t>
  </si>
  <si>
    <t xml:space="preserve">Developer units are $14,995 but the site lists no payload, reach, runtime, weight, or compute. Offer to draft a spec table. Also meta description says "hospitality laundry" while the page just says "Hospitality".</t>
  </si>
  <si>
    <t xml:space="preserve">Spec sheet idea for HALE developer units</t>
  </si>
  <si>
    <t xml:space="preserve">2-person team, very early. Contract mechanical role open.</t>
  </si>
  <si>
    <t xml:space="preserve">companies/01-06-os3.md</t>
  </si>
  <si>
    <t xml:space="preserve">https://os3robotics.com</t>
  </si>
  <si>
    <t xml:space="preserve">https://www.ycombinator.com/companies/os3</t>
  </si>
  <si>
    <t xml:space="preserve">hi@os3robotics.com</t>
  </si>
  <si>
    <t xml:space="preserve">os3robotics.com</t>
  </si>
  <si>
    <t xml:space="preserve">rishabh@os3robotics.com, rishabh.chanana@os3robotics.com, rchanana@os3robotics.com, rishabhchanana@os3robotics.com, r.chanana@os3robotics.com, rishabhc@os3robotics.com</t>
  </si>
  <si>
    <t xml:space="preserve">Darwin</t>
  </si>
  <si>
    <t xml:space="preserve">C</t>
  </si>
  <si>
    <t xml:space="preserve">Sergio Charles</t>
  </si>
  <si>
    <t xml:space="preserve">Founder &amp; CEO</t>
  </si>
  <si>
    <t xml:space="preserve">sergio@darwinrobotics.ai</t>
  </si>
  <si>
    <t xml:space="preserve">General-purpose robots that learn by demonstration to assemble and maintain AI infrastructure. First deployments planned early 2027.</t>
  </si>
  <si>
    <t xml:space="preserve">The "See it work" button points to #work but there doesn't seem to be a section with that id (VERIFY: click it).</t>
  </si>
  <si>
    <t xml:space="preserve">"See it work" button on darwinrobotics.ai</t>
  </si>
  <si>
    <t xml:space="preserve">Weak value item. Verify the button before sending, or skip.</t>
  </si>
  <si>
    <t xml:space="preserve">companies/01-07-darwin.md</t>
  </si>
  <si>
    <t xml:space="preserve">https://darwinrobotics.ai</t>
  </si>
  <si>
    <t xml:space="preserve">https://www.ycombinator.com/companies/darwin</t>
  </si>
  <si>
    <t xml:space="preserve">ask@darwinrobotics.ai, sergio@thesislabs.ai</t>
  </si>
  <si>
    <t xml:space="preserve">darwinrobotics.ai</t>
  </si>
  <si>
    <t xml:space="preserve">prior {first} (11/11 indexed domains) (no personal addresses at this domain on site, DNS, YC, HN, Wayback, web or GitHub) | other real addresses: sergio@thesislabs.ai (published by the company), sergiogcharles@gmail.com (personal, GitHub sergiogcharles)</t>
  </si>
  <si>
    <t xml:space="preserve">sergio@darwinrobotics.ai, sergio.charles@darwinrobotics.ai, scharles@darwinrobotics.ai, sergiocharles@darwinrobotics.ai, s.charles@darwinrobotics.ai, sergioc@darwinrobotics.ai</t>
  </si>
  <si>
    <t xml:space="preserve">Lightberry</t>
  </si>
  <si>
    <t xml:space="preserve">Stephan Koenigstorfer</t>
  </si>
  <si>
    <t xml:space="preserve">stephan@lightberry.com</t>
  </si>
  <si>
    <t xml:space="preserve">AI "social brain" for robots so they can listen, speak, and act. Runs on Unitree, Booster, Fourier humanoids. Robot named Lumi.</t>
  </si>
  <si>
    <t xml:space="preserve">Idea: use sound direction-of-arrival so the robot turns toward whoever is speaking. Venkat's HRTF engine is the reverse of that problem. Site note: homepage has one line about Lumi and no specs or details.</t>
  </si>
  <si>
    <t xml:space="preserve">AUDIO</t>
  </si>
  <si>
    <t xml:space="preserve">Spatial audio guy, interested in robots that listen</t>
  </si>
  <si>
    <t xml:space="preserve">Hiring Voice AI SWE. Good match for the audio project.</t>
  </si>
  <si>
    <t xml:space="preserve">companies/01-08-lightberry.md</t>
  </si>
  <si>
    <t xml:space="preserve">https://lightberry.com</t>
  </si>
  <si>
    <t xml:space="preserve">https://www.ycombinator.com/companies/lightberry</t>
  </si>
  <si>
    <t xml:space="preserve">founders@lightberry.com</t>
  </si>
  <si>
    <t xml:space="preserve">lightberry.com</t>
  </si>
  <si>
    <t xml:space="preserve">prior {first} (11/11 indexed domains); ambiguous with Stephan Wolski (no personal addresses at this domain on site, DNS, YC, HN, Wayback, web or GitHub) | other real addresses: stephan.koenigstorfer@gmail.com (personal, GitHub sadkoeni)</t>
  </si>
  <si>
    <t xml:space="preserve">stephan@lightberry.com, stephank@lightberry.com, stephan.koenigstorfer@lightberry.com, skoenigstorfer@lightberry.com, stephankoenigstorfer@lightberry.com, s.koenigstorfer@lightberry.com</t>
  </si>
  <si>
    <t xml:space="preserve">Bucket Robotics</t>
  </si>
  <si>
    <t xml:space="preserve">Matt Puchalski</t>
  </si>
  <si>
    <t xml:space="preserve">matt@bucket.bot</t>
  </si>
  <si>
    <t xml:space="preserve">Defect detection for manufacturing: CAD files in, vision model out, runs on edge devices like Jetson Orin Nano.</t>
  </si>
  <si>
    <t xml:space="preserve">Homepage sets a large-image social card but has no preview image, so links shared on X/Slack/LinkedIn show up blank (VERIFY with a link preview checker like opengraph.xyz).</t>
  </si>
  <si>
    <t xml:space="preserve">Link previews for bucket.bot</t>
  </si>
  <si>
    <t xml:space="preserve">Hiring ML, full stack, forward deploy.</t>
  </si>
  <si>
    <t xml:space="preserve">companies/01-09-bucket-robotics.md</t>
  </si>
  <si>
    <t xml:space="preserve">https://bucket.bot</t>
  </si>
  <si>
    <t xml:space="preserve">https://www.ycombinator.com/companies/bucket-robotics</t>
  </si>
  <si>
    <t xml:space="preserve">bucket.bot</t>
  </si>
  <si>
    <t xml:space="preserve">https://news.ycombinator.com/item?id=41367750</t>
  </si>
  <si>
    <t xml:space="preserve">2026-10-18 01:42</t>
  </si>
  <si>
    <t xml:space="preserve">matt@bucket.bot, matt.puchalski@bucket.bot, mpuchalski@bucket.bot, mattpuchalski@bucket.bot, m.puchalski@bucket.bot, mattp@bucket.bot</t>
  </si>
  <si>
    <t xml:space="preserve">Saphira AI</t>
  </si>
  <si>
    <t xml:space="preserve">Akshay Chalana</t>
  </si>
  <si>
    <t xml:space="preserve">akshay@saphira.ai</t>
  </si>
  <si>
    <t xml:space="preserve">AI agents that help hardware and robot companies get safety certified (ISO 10218, ISO 26262, UL, CE).</t>
  </si>
  <si>
    <t xml:space="preserve">Customer quote from RobCo has no named speaker or title, which weakens it (VERIFY).</t>
  </si>
  <si>
    <t xml:space="preserve">Robotics student curious about safety certification</t>
  </si>
  <si>
    <t xml:space="preserve">Weaker fit. Lower priority.</t>
  </si>
  <si>
    <t xml:space="preserve">companies/01-10-saphira-ai.md</t>
  </si>
  <si>
    <t xml:space="preserve">https://saphira.ai</t>
  </si>
  <si>
    <t xml:space="preserve">https://www.ycombinator.com/companies/saphira-ai</t>
  </si>
  <si>
    <t xml:space="preserve">saphira.ai</t>
  </si>
  <si>
    <t xml:space="preserve">akshay@saphira.ai, akshay.chalana@saphira.ai, achalana@saphira.ai, akshaychalana@saphira.ai, a.chalana@saphira.ai, akshayc@saphira.ai</t>
  </si>
  <si>
    <t xml:space="preserve">Yondu</t>
  </si>
  <si>
    <t xml:space="preserve">Michael Chen</t>
  </si>
  <si>
    <t xml:space="preserve">michael@yonduai.com</t>
  </si>
  <si>
    <t xml:space="preserve">guess (public: hello@yonduai.com)</t>
  </si>
  <si>
    <t xml:space="preserve">Warehouse robots for order picking at 3PLs: teleop first (ULTRON), then autonomy (YGM). Has a Fall 2026 Mechatronics Intern posting.</t>
  </si>
  <si>
    <t xml:space="preserve">Site is yondu.ai but the contact email is hello@yonduai.com (different domain). Copy also switches between "bin-picking" and "warehouse tasks" as the first thing you fully automate.</t>
  </si>
  <si>
    <t xml:space="preserve">Mechatronics intern question (and a small site note)</t>
  </si>
  <si>
    <t xml:space="preserve">Has an intern posting. Michael helped build an open-source bipedal robot at MIT.</t>
  </si>
  <si>
    <t xml:space="preserve">companies/01-11-yondu.md</t>
  </si>
  <si>
    <t xml:space="preserve">https://yondu.ai</t>
  </si>
  <si>
    <t xml:space="preserve">https://www.ycombinator.com/companies/yondu</t>
  </si>
  <si>
    <t xml:space="preserve">hello@yonduai.com</t>
  </si>
  <si>
    <t xml:space="preserve">yondu.ai</t>
  </si>
  <si>
    <t xml:space="preserve">prior {first} (11/11 indexed domains) (no personal addresses at this domain on site, DNS, YC, HN, Wayback, web or GitHub) | mail domain yonduai.com, not yondu.ai (addresses only seen there)</t>
  </si>
  <si>
    <t xml:space="preserve">michael@yonduai.com, mike@yonduai.com, michael.chen@yonduai.com, mchen@yonduai.com, michaelchen@yonduai.com, m.chen@yonduai.com, michael@yondu.ai, mike@yondu.ai</t>
  </si>
  <si>
    <t xml:space="preserve">Ultra</t>
  </si>
  <si>
    <t xml:space="preserve">Oliver Ortlieb</t>
  </si>
  <si>
    <t xml:space="preserve">oliver@ultra.tech</t>
  </si>
  <si>
    <t xml:space="preserve">OP1 stationary robots that pack and sort orders in warehouses. Raised $62M on Oct 9, 2026 and partnered with Physical Intelligence.</t>
  </si>
  <si>
    <t xml:space="preserve">The "Introducing" section shows leftover CMS text: "No frames yet. Paste a manifest URL..." (VERIFY).</t>
  </si>
  <si>
    <t xml:space="preserve">Placeholder text showing on ultra.tech</t>
  </si>
  <si>
    <t xml:space="preserve">Fresh $62M raise, 19 open roles. Bigger hiring process, lower odds of cold reply but worth one shot.</t>
  </si>
  <si>
    <t xml:space="preserve">companies/01-12-ultra.md</t>
  </si>
  <si>
    <t xml:space="preserve">https://ultra.tech</t>
  </si>
  <si>
    <t xml:space="preserve">https://www.ycombinator.com/companies/ultra</t>
  </si>
  <si>
    <t xml:space="preserve">founders@ultra.tech</t>
  </si>
  <si>
    <t xml:space="preserve">ultra.tech</t>
  </si>
  <si>
    <t xml:space="preserve">prior {first} (11/11 indexed domains) (no personal addresses at this domain on site, DNS, YC, HN, Wayback, web or GitHub) | other real addresses: oortlieb@gmail.com (personal, GitHub oortlieb)</t>
  </si>
  <si>
    <t xml:space="preserve">oliver@ultra.tech, oliver.ortlieb@ultra.tech, oortlieb@ultra.tech, oliverortlieb@ultra.tech, o.ortlieb@ultra.tech, olivero@ultra.tech</t>
  </si>
  <si>
    <t xml:space="preserve">Proception</t>
  </si>
  <si>
    <t xml:space="preserve">Jay Li</t>
  </si>
  <si>
    <t xml:space="preserve">jay@proception.ai</t>
  </si>
  <si>
    <t xml:space="preserve">Dexterous robot hands (ProHand, 22 DOF, tactile skin) and a data glove (ProGlove). $11M seed led by First Round.</t>
  </si>
  <si>
    <t xml:space="preserve">"Explore products" button points to #products but there's no products section on the homepage. Nav says "Product", footer says "Products". (VERIFY)</t>
  </si>
  <si>
    <t xml:space="preserve">"Explore products" button on proception.ai</t>
  </si>
  <si>
    <t xml:space="preserve">Only role open is a technician in Palo Alto.</t>
  </si>
  <si>
    <t xml:space="preserve">companies/01-13-proception.md</t>
  </si>
  <si>
    <t xml:space="preserve">https://proception.ai</t>
  </si>
  <si>
    <t xml:space="preserve">https://www.ycombinator.com/companies/proception</t>
  </si>
  <si>
    <t xml:space="preserve">proception.ai</t>
  </si>
  <si>
    <t xml:space="preserve">https://github.com/JayLiStanford/uniform-recycle/commit/ce458c5d632fc9f3c3ba206ebc4690bd07726f11</t>
  </si>
  <si>
    <t xml:space="preserve">jay@proception.ai, jay.li@proception.ai, jli@proception.ai, jayli@proception.ai, j.li@proception.ai, jayl@proception.ai</t>
  </si>
  <si>
    <t xml:space="preserve">Mbodi AI</t>
  </si>
  <si>
    <t xml:space="preserve">Sebastian Peralta</t>
  </si>
  <si>
    <t xml:space="preserve">sebastian@mbodi.ai</t>
  </si>
  <si>
    <t xml:space="preserve">Teach industrial robots new skills with plain language and demos. ABB partnership. Open-source embodied-agents library.</t>
  </si>
  <si>
    <t xml:space="preserve">Every item in the press carousel links to the same TechInAsia article, including the TechCrunch and ABB headlines (VERIFY by clicking 3-4).</t>
  </si>
  <si>
    <t xml:space="preserve">Press links on mbodi.ai all go to one article</t>
  </si>
  <si>
    <t xml:space="preserve">Could upgrade to a build later with their open-source embodied-agents library.</t>
  </si>
  <si>
    <t xml:space="preserve">companies/01-14-mbodi-ai.md</t>
  </si>
  <si>
    <t xml:space="preserve">https://www.mbodi.ai</t>
  </si>
  <si>
    <t xml:space="preserve">https://www.ycombinator.com/companies/mbodi-ai</t>
  </si>
  <si>
    <t xml:space="preserve">mbodi.ai</t>
  </si>
  <si>
    <t xml:space="preserve">https://github.com/sebjperalta/mparse/commit/6fbd50331472a89c198b4bcf2df445c2bb668e79</t>
  </si>
  <si>
    <t xml:space="preserve">sebastian@mbodi.ai, sebastian.peralta@mbodi.ai, speralta@mbodi.ai, sebastianperalta@mbodi.ai, s.peralta@mbodi.ai, sebastianp@mbodi.ai</t>
  </si>
  <si>
    <t xml:space="preserve">Orangewood Labs</t>
  </si>
  <si>
    <t xml:space="preserve">Abhinav Das</t>
  </si>
  <si>
    <t xml:space="preserve">abhinav@orangewood.co</t>
  </si>
  <si>
    <t xml:space="preserve">guess (public: hellorobot@orangewood.co)</t>
  </si>
  <si>
    <t xml:space="preserve">Affordable AI robot arms for small manufacturers (RoboGPT). Most of the team is in India.</t>
  </si>
  <si>
    <t xml:space="preserve">The "Tasks Done by Orangewood Robots" section has the "rough estimates" disclaimer but no actual numbers showing (VERIFY).</t>
  </si>
  <si>
    <t xml:space="preserve">Missing numbers in "Tasks Done by Orangewood Robots"</t>
  </si>
  <si>
    <t xml:space="preserve">Open roles are all in Noida. Lower priority.</t>
  </si>
  <si>
    <t xml:space="preserve">companies/01-15-orangewood-labs.md</t>
  </si>
  <si>
    <t xml:space="preserve">https://www.orangewood.co</t>
  </si>
  <si>
    <t xml:space="preserve">https://www.ycombinator.com/companies/orangewood-labs</t>
  </si>
  <si>
    <t xml:space="preserve">hellorobot@orangewood.co</t>
  </si>
  <si>
    <t xml:space="preserve">orangewood.co</t>
  </si>
  <si>
    <t xml:space="preserve">abhinav@orangewood.co, abhi@orangewood.co, abhinav.das@orangewood.co, adas@orangewood.co, abhinavdas@orangewood.co, a.das@orangewood.co</t>
  </si>
  <si>
    <t xml:space="preserve">Revise Robotics</t>
  </si>
  <si>
    <t xml:space="preserve">Rupesh Jeyaram</t>
  </si>
  <si>
    <t xml:space="preserve">rupesh@reviserobotics.com</t>
  </si>
  <si>
    <t xml:space="preserve">Robots that test, wipe, photograph, and list used laptops for resale. Posting Engineering Intern (Summer/Fall 2026).</t>
  </si>
  <si>
    <t xml:space="preserve">BUILD (done): a Python script that pulls a laptop's battery wear, disk health, RAM, and CPU into a one-page resale grade report.</t>
  </si>
  <si>
    <t xml:space="preserve">DONE: github.com/Venkat960407/laptop-resale-grader (Windows/macOS/Linux, tested grading rules)</t>
  </si>
  <si>
    <t xml:space="preserve">Built a laptop health-check script for refurbishing</t>
  </si>
  <si>
    <t xml:space="preserve">Has an Engineering Intern posting. Site didn't render for research; verify it loads.</t>
  </si>
  <si>
    <t xml:space="preserve">companies/01-16-revise-robotics.md</t>
  </si>
  <si>
    <t xml:space="preserve">https://www.reviserobotics.com</t>
  </si>
  <si>
    <t xml:space="preserve">https://www.ycombinator.com/companies/revise-robotics</t>
  </si>
  <si>
    <t xml:space="preserve">reviserobotics.com</t>
  </si>
  <si>
    <t xml:space="preserve">rupesh@reviserobotics.com, rupesh.jeyaram@reviserobotics.com, rjeyaram@reviserobotics.com, rupeshjeyaram@reviserobotics.com, r.jeyaram@reviserobotics.com, rupeshj@reviserobotics.com</t>
  </si>
  <si>
    <t xml:space="preserve">Aktoria Robotics</t>
  </si>
  <si>
    <t xml:space="preserve">Shreenabh Agrawal</t>
  </si>
  <si>
    <t xml:space="preserve">founders@aktoria.com</t>
  </si>
  <si>
    <t xml:space="preserve">public (founders@ shown on site)</t>
  </si>
  <si>
    <t xml:space="preserve">24/7 remote robot operators plus low-latency teleop software. Also sells teleop training data.</t>
  </si>
  <si>
    <t xml:space="preserve">Site names "R1 Teleop" as a product but never explains it, and "works with any robot" has no list of supported platforms.</t>
  </si>
  <si>
    <t xml:space="preserve">Question about R1 Teleop</t>
  </si>
  <si>
    <t xml:space="preserve">Brand new (S26), 2 people. Public founders@ email.</t>
  </si>
  <si>
    <t xml:space="preserve">companies/01-17-aktoria-robotics.md</t>
  </si>
  <si>
    <t xml:space="preserve">https://aktoria.com</t>
  </si>
  <si>
    <t xml:space="preserve">https://www.ycombinator.com/companies/aktoria-robotics</t>
  </si>
  <si>
    <t xml:space="preserve">aktoria.com</t>
  </si>
  <si>
    <t xml:space="preserve">https://aktoria.com | personal guess: shreenabh@aktoria.com (prior {first} (11/11 indexed domains) (no personal addresses at this domain on site, DNS, YC, HN, Wayback, web or GitHub))</t>
  </si>
  <si>
    <t xml:space="preserve">shreenabh@aktoria.com, shreenabh.agrawal@aktoria.com, sagrawal@aktoria.com, shreenabhagrawal@aktoria.com, s.agrawal@aktoria.com, shreenabha@aktoria.com</t>
  </si>
  <si>
    <t xml:space="preserve">Starcloud</t>
  </si>
  <si>
    <t xml:space="preserve">Adi Oltean</t>
  </si>
  <si>
    <t xml:space="preserve">Founder &amp; Chief Engineer</t>
  </si>
  <si>
    <t xml:space="preserve">adi@starcloud.com</t>
  </si>
  <si>
    <t xml:space="preserve">Data centers in space. Launched Starcloud-1 with an Nvidia H100 in Nov 2025. $170M Series A in Mar 2026.</t>
  </si>
  <si>
    <t xml:space="preserve">LOCAL: Venkat is in Redmond, same as Starcloud's hiring location, so he can help in person. Site footer still says (c) 2024 (VERIFY).</t>
  </si>
  <si>
    <t xml:space="preserve">Redmond student who'd love to help in person</t>
  </si>
  <si>
    <t xml:space="preserve">Local in Redmond. Big company now ($1.1B), so lower cold-email odds, but the local angle is strong.</t>
  </si>
  <si>
    <t xml:space="preserve">companies/01-18-starcloud.md</t>
  </si>
  <si>
    <t xml:space="preserve">https://www.starcloud.com</t>
  </si>
  <si>
    <t xml:space="preserve">https://www.ycombinator.com/companies/starcloud</t>
  </si>
  <si>
    <t xml:space="preserve">starcloud.com</t>
  </si>
  <si>
    <t xml:space="preserve">https://github.com/adi-oltean/fastcad/commit/b49cf0f7c5adc950c21758fcec17c5c7c3fbaf4c</t>
  </si>
  <si>
    <t xml:space="preserve">adi@starcloud.com, adi.oltean@starcloud.com, aoltean@starcloud.com, adioltean@starcloud.com, a.oltean@starcloud.com, adio@starcloud.com</t>
  </si>
  <si>
    <t xml:space="preserve">Feather</t>
  </si>
  <si>
    <t xml:space="preserve">Aahan Sawhney</t>
  </si>
  <si>
    <t xml:space="preserve">Co-founder</t>
  </si>
  <si>
    <t xml:space="preserve">aahan@featherhq.com</t>
  </si>
  <si>
    <t xml:space="preserve">Voice AI platform for natural-sounding AI phone calls.</t>
  </si>
  <si>
    <t xml:space="preserve">Site description used in Google results and link previews reads "Feather is helps enterprises build and deploy AI agents" (VERIFY by searching featherhq).</t>
  </si>
  <si>
    <t xml:space="preserve">Typo in Feather's Google/link preview text</t>
  </si>
  <si>
    <t xml:space="preserve">Only open role is India-based. Lower priority.</t>
  </si>
  <si>
    <t xml:space="preserve">companies/01-19-feather.md</t>
  </si>
  <si>
    <t xml:space="preserve">https://www.featherhq.com</t>
  </si>
  <si>
    <t xml:space="preserve">https://www.ycombinator.com/companies/feather</t>
  </si>
  <si>
    <t xml:space="preserve">featherhq.com</t>
  </si>
  <si>
    <t xml:space="preserve">https://github.com/aahan-feather/debt-collection/commit/15cfd1b5eb8e9aa6db5fa7a3c8c3328a53101d75</t>
  </si>
  <si>
    <t xml:space="preserve">aahan@featherhq.com, aahan.sawhney@featherhq.com, asawhney@featherhq.com, aahansawhney@featherhq.com, a.sawhney@featherhq.com, aahans@featherhq.com</t>
  </si>
  <si>
    <t xml:space="preserve">Silurian</t>
  </si>
  <si>
    <t xml:space="preserve">Nikhil Shankar</t>
  </si>
  <si>
    <t xml:space="preserve">Co-founder &amp; Chief Engineer</t>
  </si>
  <si>
    <t xml:space="preserve">nikhil@silurian.ai</t>
  </si>
  <si>
    <t xml:space="preserve">Foundation models that simulate Earth, starting with weather (GFT, 1.5B params). API for energy, insurance, agriculture.</t>
  </si>
  <si>
    <t xml:space="preserve">Footer "API" link goes to the weather product page, not API docs (VERIFY).</t>
  </si>
  <si>
    <t xml:space="preserve">STOCK</t>
  </si>
  <si>
    <t xml:space="preserve">Footer "API" link on silurian.ai</t>
  </si>
  <si>
    <t xml:space="preserve">ML research role is senior. Lower priority.</t>
  </si>
  <si>
    <t xml:space="preserve">companies/01-20-silurian.md</t>
  </si>
  <si>
    <t xml:space="preserve">https://silurian.ai</t>
  </si>
  <si>
    <t xml:space="preserve">https://www.ycombinator.com/companies/silurian</t>
  </si>
  <si>
    <t xml:space="preserve">silurian.ai</t>
  </si>
  <si>
    <t xml:space="preserve">pattern {first} from jayesh@silurian.ai</t>
  </si>
  <si>
    <t xml:space="preserve">nikhil@silurian.ai, nikhil.shankar@silurian.ai, nshankar@silurian.ai, nikhilshankar@silurian.ai, n.shankar@silurian.ai, nikhils@silurian.ai</t>
  </si>
  <si>
    <t xml:space="preserve">Cerulion</t>
  </si>
  <si>
    <t xml:space="preserve">Lakshay Sharma</t>
  </si>
  <si>
    <t xml:space="preserve">founders@cerulion.com</t>
  </si>
  <si>
    <t xml:space="preserve">emailed Aug 15, no bounce (reply in that thread)</t>
  </si>
  <si>
    <t xml:space="preserve">Open-source robot middleware: Flashback rolling recorder (MCAP), Studio viewer, native replay with --verify for CI, shared-memory transport.</t>
  </si>
  <si>
    <t xml:space="preserve">Homepage has no install steps or quickstart (CTAs are only 'Talk to us' and 'Star on GitHub'), and Flashback/Hindsight/Studio aren't defined. Offer: write a 5-minute quickstart from a fresh install.</t>
  </si>
  <si>
    <t xml:space="preserve">Re: Not your average intern candidate</t>
  </si>
  <si>
    <t xml:space="preserve">Ready to review</t>
  </si>
  <si>
    <t xml:space="preserve">Aug 15 thread. Founding Middleware Lead role is senior.</t>
  </si>
  <si>
    <t xml:space="preserve">companies/02-21-cerulion.md</t>
  </si>
  <si>
    <t xml:space="preserve">https://www.cerulion.com</t>
  </si>
  <si>
    <t xml:space="preserve">https://www.ycombinator.com/companies/cerulion</t>
  </si>
  <si>
    <t xml:space="preserve">Verne Robotics</t>
  </si>
  <si>
    <t xml:space="preserve">Neil Nie</t>
  </si>
  <si>
    <t xml:space="preserve">neil@vernerobotics.com</t>
  </si>
  <si>
    <t xml:space="preserve">Nemo3 bimanual arms that learn a task from ~30 min of teleop (diffusion policies), priced hourly. Packaging vials for ABClonal.</t>
  </si>
  <si>
    <t xml:space="preserve">Site shows no specs, pricing or tasks; the YC page has them (2.5 ft reach, 4 lb payload, ~30 min of teleop per task, hourly pricing). Also hiring a Robotics Operator, new grads welcome.</t>
  </si>
  <si>
    <t xml:space="preserve">Nemo3 specs aren't on vernerobotics.com</t>
  </si>
  <si>
    <t xml:space="preserve">Robotics Operator role ($20-30/hr, new grads welcome).</t>
  </si>
  <si>
    <t xml:space="preserve">companies/02-22-verne-robotics.md</t>
  </si>
  <si>
    <t xml:space="preserve">https://vernerobotics.com</t>
  </si>
  <si>
    <t xml:space="preserve">https://www.ycombinator.com/companies/verne-robotics</t>
  </si>
  <si>
    <t xml:space="preserve">Pivot Robotics</t>
  </si>
  <si>
    <t xml:space="preserve">Siddharth Girdhar</t>
  </si>
  <si>
    <t xml:space="preserve">siddharth@pivotrobotics.com</t>
  </si>
  <si>
    <t xml:space="preserve">guess (public: sales@pivotrobotics.com)</t>
  </si>
  <si>
    <t xml:space="preserve">Camera-driven robot finishing (grinding, cutting, sanding) and inspection for foundries and aerospace. 10+ robots at a cast-iron foundry.</t>
  </si>
  <si>
    <t xml:space="preserve">Homepage stats '100x Faster' and '&lt;2 Year ROI' have no baseline or example; one sentence each would make them believable.</t>
  </si>
  <si>
    <t xml:space="preserve">The '100x faster' stat on pivotrobotics.com</t>
  </si>
  <si>
    <t xml:space="preserve">SWE roles need 1+ yr.</t>
  </si>
  <si>
    <t xml:space="preserve">companies/02-23-pivot-robotics.md</t>
  </si>
  <si>
    <t xml:space="preserve">https://pivotrobotics.com</t>
  </si>
  <si>
    <t xml:space="preserve">https://www.ycombinator.com/companies/pivot-robotics</t>
  </si>
  <si>
    <t xml:space="preserve">Relari</t>
  </si>
  <si>
    <t xml:space="preserve">Yi Zhang</t>
  </si>
  <si>
    <t xml:space="preserve">yi@relari.ai</t>
  </si>
  <si>
    <t xml:space="preserve">Learning dexterous manipulation from humans: video plus EMG armband, motion, force and touch, to train a manipulation foundation model.</t>
  </si>
  <si>
    <t xml:space="preserve">Has a Software Engineering Intern posting. YC profile's launches still show the old GenAI testing product (and Nuvi), which doesn't match the robotics story.</t>
  </si>
  <si>
    <t xml:space="preserve">Software Engineering Intern (and your YC profile)</t>
  </si>
  <si>
    <t xml:space="preserve">SWE Intern ($40-60/hr). Strong fit.</t>
  </si>
  <si>
    <t xml:space="preserve">companies/02-24-relari.md</t>
  </si>
  <si>
    <t xml:space="preserve">https://www.relari.ai</t>
  </si>
  <si>
    <t xml:space="preserve">https://www.ycombinator.com/companies/relari</t>
  </si>
  <si>
    <t xml:space="preserve">Tuesday Labs</t>
  </si>
  <si>
    <t xml:space="preserve">Rosalind Shinkle</t>
  </si>
  <si>
    <t xml:space="preserve">rosalind@tuesdaylabs.com</t>
  </si>
  <si>
    <t xml:space="preserve">Voxel Series-1, a home robot that tidies. Founder ex-Boston Dynamics Spot manipulation.</t>
  </si>
  <si>
    <t xml:space="preserve">Homepage has both 'Shop' and 'Reserve' with no price, availability date, or what reserving means.</t>
  </si>
  <si>
    <t xml:space="preserve">'Shop' vs 'Reserve' for Voxel</t>
  </si>
  <si>
    <t xml:space="preserve">Only an open call in NYC.</t>
  </si>
  <si>
    <t xml:space="preserve">companies/02-25-tuesday-labs.md</t>
  </si>
  <si>
    <t xml:space="preserve">https://www.tuesdaylabs.com</t>
  </si>
  <si>
    <t xml:space="preserve">https://www.ycombinator.com/companies/tuesday-labs</t>
  </si>
  <si>
    <t xml:space="preserve">Waddle Labs</t>
  </si>
  <si>
    <t xml:space="preserve">Yiding (Vincent) Song</t>
  </si>
  <si>
    <t xml:space="preserve">founders@waddlelabs.ai</t>
  </si>
  <si>
    <t xml:space="preserve">public (founders@ on site, for people who want to work with them)</t>
  </si>
  <si>
    <t xml:space="preserve">LLM agents that write robot control code from a prompt ('Claude Code for robotics'). Preview API by sign-up.</t>
  </si>
  <si>
    <t xml:space="preserve">Offer to be an early preview user on a real (VEX/hobby) robot and send a written log of where the agent's control code fails.</t>
  </si>
  <si>
    <t xml:space="preserve">Would love to stress-test Waddle on a real robot</t>
  </si>
  <si>
    <t xml:space="preserve">Founding Research Engineer open to new grads ($175-350K) is a stretch, but they invite emails.</t>
  </si>
  <si>
    <t xml:space="preserve">companies/02-26-waddle-labs.md</t>
  </si>
  <si>
    <t xml:space="preserve">https://www.waddlelabs.ai</t>
  </si>
  <si>
    <t xml:space="preserve">https://www.ycombinator.com/companies/waddle-labs</t>
  </si>
  <si>
    <t xml:space="preserve">One Robot</t>
  </si>
  <si>
    <t xml:space="preserve">Hemanth Sarabu</t>
  </si>
  <si>
    <t xml:space="preserve">founders@onerobot.io</t>
  </si>
  <si>
    <t xml:space="preserve">World-model simulators of hard manipulation tasks (folding, assembly) to train and evaluate robot policies without robot time.</t>
  </si>
  <si>
    <t xml:space="preserve">Machine Learning Intern posting. Site's demo link shows as a raw path ('/viz/index.html') instead of a label.</t>
  </si>
  <si>
    <t xml:space="preserve">Aug 15 thread. ML Intern ($6-8K/mo, junior and above).</t>
  </si>
  <si>
    <t xml:space="preserve">companies/02-27-one-robot.md</t>
  </si>
  <si>
    <t xml:space="preserve">https://www.onerobot.io</t>
  </si>
  <si>
    <t xml:space="preserve">https://www.ycombinator.com/companies/one-robot</t>
  </si>
  <si>
    <t xml:space="preserve">Runtime.si</t>
  </si>
  <si>
    <t xml:space="preserve">Chen Peng</t>
  </si>
  <si>
    <t xml:space="preserve">chen@runtime.si</t>
  </si>
  <si>
    <t xml:space="preserve">Evaluation infrastructure for robotics: test policies in thousands of simulated environments. LIBERO work, upcoming SimInfinity benchmark.</t>
  </si>
  <si>
    <t xml:space="preserve">Homepage headline calls Runtime a research lab while the YC page calls it a simulation and evaluation platform; a buyer can't tell if there's a product to try.</t>
  </si>
  <si>
    <t xml:space="preserve">runtime.si says 'research lab', YC says 'eval platform'</t>
  </si>
  <si>
    <t xml:space="preserve">Founding roles are full-time.</t>
  </si>
  <si>
    <t xml:space="preserve">companies/02-28-runtimesi.md</t>
  </si>
  <si>
    <t xml:space="preserve">https://runtime.si</t>
  </si>
  <si>
    <t xml:space="preserve">https://www.ycombinator.com/companies/runtimesi</t>
  </si>
  <si>
    <t xml:space="preserve">DeepAware AI (Robotics Center of Silicon Valley)</t>
  </si>
  <si>
    <t xml:space="preserve">Jerry Huang</t>
  </si>
  <si>
    <t xml:space="preserve">jerry@deepawareai.com</t>
  </si>
  <si>
    <t xml:space="preserve">Sells and leases robots and parts with fast delivery, plus teleop data collection, RL environments and an eval stack.</t>
  </si>
  <si>
    <t xml:space="preserve">roboticscenter.ai gives three different platform counts (30+, 60+, 90+) and its headline promises 48-hour delivery while the YC page says 72. Robotics Engineer Intern posting.</t>
  </si>
  <si>
    <t xml:space="preserve">Aug 15 thread (jerry@deepawareai.com). Robotics Engineer Intern.</t>
  </si>
  <si>
    <t xml:space="preserve">companies/02-29-deepaware.md</t>
  </si>
  <si>
    <t xml:space="preserve">https://roboticscenter.ai</t>
  </si>
  <si>
    <t xml:space="preserve">https://www.ycombinator.com/companies/deepaware</t>
  </si>
  <si>
    <t xml:space="preserve">contact@roboticscenter.ai</t>
  </si>
  <si>
    <t xml:space="preserve">Voltair</t>
  </si>
  <si>
    <t xml:space="preserve">Hayden Gosch</t>
  </si>
  <si>
    <t xml:space="preserve">hayden@voltairlabs.com</t>
  </si>
  <si>
    <t xml:space="preserve">guess (public: info@voltairlabs.com)</t>
  </si>
  <si>
    <t xml:space="preserve">Long-range drones (Faraday-1: 85 mi, 135 min) that recharge on pads at substations/poles to inspect power lines. ~1,000 sq mi per pad.</t>
  </si>
  <si>
    <t xml:space="preserve">BUILD (done): pad-planner, greedy set cover choosing substations for pads so every line-mile is in round-trip reach. With 85 mi range and 20% reserve, 1,000 sq mi per pad matches ~30 mi of line inspected per sortie.</t>
  </si>
  <si>
    <t xml:space="preserve">DONE: github.com/Venkat960407/pad-planner (set cover, sweep, GeoJSON input; synthetic demo)</t>
  </si>
  <si>
    <t xml:space="preserve">Pad placement planner for Faraday-1</t>
  </si>
  <si>
    <t xml:space="preserve">Tier A. CTO UW + Seattle City Light. EE Intern ($1-2K/mo).</t>
  </si>
  <si>
    <t xml:space="preserve">companies/02-30-voltair.md</t>
  </si>
  <si>
    <t xml:space="preserve">https://voltairlabs.com</t>
  </si>
  <si>
    <t xml:space="preserve">https://www.ycombinator.com/companies/voltair</t>
  </si>
  <si>
    <t xml:space="preserve">info@voltairlabs.com</t>
  </si>
  <si>
    <t xml:space="preserve">Arlo Industries</t>
  </si>
  <si>
    <t xml:space="preserve">Deo Arlo</t>
  </si>
  <si>
    <t xml:space="preserve">deo@arlo1.com</t>
  </si>
  <si>
    <t xml:space="preserve">Passive mesh sensor network (Mentat) that tracks drones and missiles in 3D without radar. Field tests in Ukraine.</t>
  </si>
  <si>
    <t xml:space="preserve">Little to offer; hook is interest in 3D tracking from passive sensors (geometric CV). Site's only contact path is a LinkedIn link.</t>
  </si>
  <si>
    <t xml:space="preserve">Robotics student interested in Mentat</t>
  </si>
  <si>
    <t xml:space="preserve">Defense; roles need 3+ yrs. Low priority.</t>
  </si>
  <si>
    <t xml:space="preserve">companies/02-31-arlo-industries.md</t>
  </si>
  <si>
    <t xml:space="preserve">https://arlo1.com</t>
  </si>
  <si>
    <t xml:space="preserve">https://www.ycombinator.com/companies/arlo-industries</t>
  </si>
  <si>
    <t xml:space="preserve">OctaPulse</t>
  </si>
  <si>
    <t xml:space="preserve">Rohan Singh</t>
  </si>
  <si>
    <t xml:space="preserve">rohan@tryoctapulse.com</t>
  </si>
  <si>
    <t xml:space="preserve">Computer vision and robotics for fish farms: phenotyping (size, shape, condition), digital twin, planned processing-line robots. Contract with Riverence.</t>
  </si>
  <si>
    <t xml:space="preserve">BUILD (done): fish-measure, one photo + printed ArUco marker gives total length, fork length, body depth and area. On 60 synthetic photos: TL 0.32% mean error, FL 1.21%, depth 1.29%.</t>
  </si>
  <si>
    <t xml:space="preserve">DONE: github.com/Venkat960407/fish-measure (OpenCV, synthetic accuracy test)</t>
  </si>
  <si>
    <t xml:space="preserve">Built a one-photo fish measurer</t>
  </si>
  <si>
    <t xml:space="preserve">Tier A. Roles in Dallas need 2+ yrs.</t>
  </si>
  <si>
    <t xml:space="preserve">companies/02-32-octapulse.md</t>
  </si>
  <si>
    <t xml:space="preserve">https://www.tryoctapulse.com</t>
  </si>
  <si>
    <t xml:space="preserve">https://www.ycombinator.com/companies/octapulse</t>
  </si>
  <si>
    <t xml:space="preserve">Eden Robotics</t>
  </si>
  <si>
    <t xml:space="preserve">Joseph Humphreys</t>
  </si>
  <si>
    <t xml:space="preserve">founders@edenrobotics.ai</t>
  </si>
  <si>
    <t xml:space="preserve">Semi-humanoid robots for manufacturing and logistics, rented by the hour ('from $10/hour', $0 setup).</t>
  </si>
  <si>
    <t xml:space="preserve">Homepage '$10/hour' has no note on what's included, what counts as an hour, or minimum commitment.</t>
  </si>
  <si>
    <t xml:space="preserve">Aug 15 thread. Founding Communications Engineer open to new grads.</t>
  </si>
  <si>
    <t xml:space="preserve">companies/02-33-eden-robotics.md</t>
  </si>
  <si>
    <t xml:space="preserve">https://www.edenrobotics.ai</t>
  </si>
  <si>
    <t xml:space="preserve">https://www.ycombinator.com/companies/eden-robotics</t>
  </si>
  <si>
    <t xml:space="preserve">Dalus</t>
  </si>
  <si>
    <t xml:space="preserve">Sebastian Völkl</t>
  </si>
  <si>
    <t xml:space="preserve">sebastian@dalus.io</t>
  </si>
  <si>
    <t xml:space="preserve">AI systems-engineering (SysML v2 MBSE) software: requirements, architecture, analysis, V&amp;V, safety. Free Pro plan for students.</t>
  </si>
  <si>
    <t xml:space="preserve">Free Pro plan for students. Offer: model the VEX robot in Dalus and send a write-up of where a student gets stuck. Pricing page 'Try for free' buttons lead to the demo form.</t>
  </si>
  <si>
    <t xml:space="preserve">Aug 15 thread. GTM Intern any level.</t>
  </si>
  <si>
    <t xml:space="preserve">companies/02-34-dalus.md</t>
  </si>
  <si>
    <t xml:space="preserve">https://dalus.io</t>
  </si>
  <si>
    <t xml:space="preserve">https://www.ycombinator.com/companies/dalus</t>
  </si>
  <si>
    <t xml:space="preserve">Adam</t>
  </si>
  <si>
    <t xml:space="preserve">Zach Dive</t>
  </si>
  <si>
    <t xml:space="preserve">founders@adam.new</t>
  </si>
  <si>
    <t xml:space="preserve">public (founders@adam.new on site; Aug email went to founders@adamcad.com)</t>
  </si>
  <si>
    <t xml:space="preserve">AI mechanical engineer / CAD copilot that works inside Fusion, Onshape, SOLIDWORKS etc. Open-source CADAM. Summer 2027 Residency (any experience).</t>
  </si>
  <si>
    <t xml:space="preserve">Summer 2027 Residency open to any experience. Offer: run Adam on real VEX parts in Fusion and send a test log. Pricing copy: Pro called 'for trying things out' while the FAQ says Pro fits most engineers.</t>
  </si>
  <si>
    <t xml:space="preserve">Aug 15 thread (adamcad.com). Residency Summer 2027.</t>
  </si>
  <si>
    <t xml:space="preserve">companies/02-35-adam.md</t>
  </si>
  <si>
    <t xml:space="preserve">https://adam.new</t>
  </si>
  <si>
    <t xml:space="preserve">https://www.ycombinator.com/companies/adam</t>
  </si>
  <si>
    <t xml:space="preserve">Outerport</t>
  </si>
  <si>
    <t xml:space="preserve">Towaki Takikawa</t>
  </si>
  <si>
    <t xml:space="preserve">towaki@outerport.com</t>
  </si>
  <si>
    <t xml:space="preserve">AI agents that turn specs and drawings into electrical/control designs (single-lines, P&amp;IDs, BOMs), export DWG/DEXPI/JSON. Daikin customer.</t>
  </si>
  <si>
    <t xml:space="preserve">Homepage examples tag the same pump P-1, P-101 and MP-1, which a controls engineer would notice on a page selling tag tracing.</t>
  </si>
  <si>
    <t xml:space="preserve">Aug 15 thread. MTS CV/Graphics open to any level.</t>
  </si>
  <si>
    <t xml:space="preserve">companies/02-36-outerport.md</t>
  </si>
  <si>
    <t xml:space="preserve">https://outerport.com</t>
  </si>
  <si>
    <t xml:space="preserve">https://www.ycombinator.com/companies/outerport</t>
  </si>
  <si>
    <t xml:space="preserve">Simantic</t>
  </si>
  <si>
    <t xml:space="preserve">Seungmin Hong</t>
  </si>
  <si>
    <t xml:space="preserve">seungmin@simantic.com</t>
  </si>
  <si>
    <t xml:space="preserve">Runs real firmware on simulated MCUs (Cloud Sim) for CI and AI agents. HTTP API + TypeScript SDK; Python and CLI 'coming soon'.</t>
  </si>
  <si>
    <t xml:space="preserve">Python SDK and CLI are 'coming soon' while the HTTP API is documented. Offer: write an unofficial Python client against the HTTP API.</t>
  </si>
  <si>
    <t xml:space="preserve">Python client for Cloud Sim?</t>
  </si>
  <si>
    <t xml:space="preserve">Could upgrade to Tier A if they give an API key.</t>
  </si>
  <si>
    <t xml:space="preserve">companies/02-37-simantic.md</t>
  </si>
  <si>
    <t xml:space="preserve">https://simantic.com</t>
  </si>
  <si>
    <t xml:space="preserve">https://www.ycombinator.com/companies/simantic</t>
  </si>
  <si>
    <t xml:space="preserve">Charge Robotics</t>
  </si>
  <si>
    <t xml:space="preserve">Max Justicz</t>
  </si>
  <si>
    <t xml:space="preserve">max@chargerobotics.com</t>
  </si>
  <si>
    <t xml:space="preserve">Portable 'Sunrise' factories where robots assemble solar array bays on site (0.5-1 MW per shift).</t>
  </si>
  <si>
    <t xml:space="preserve">Homepage responsibility list (Charge vs EPC) doesn't say who handles pile driving, which an EPC would ask first. Mechanical Engineer role open to new grads.</t>
  </si>
  <si>
    <t xml:space="preserve">Who drives the piles?</t>
  </si>
  <si>
    <t xml:space="preserve">Bigger team (25), full-time roles.</t>
  </si>
  <si>
    <t xml:space="preserve">companies/02-38-charge-robotics.md</t>
  </si>
  <si>
    <t xml:space="preserve">https://chargerobotics.com</t>
  </si>
  <si>
    <t xml:space="preserve">https://www.ycombinator.com/companies/charge-robotics</t>
  </si>
  <si>
    <t xml:space="preserve">CopyCat AI</t>
  </si>
  <si>
    <t xml:space="preserve">Abhi Balijepalli</t>
  </si>
  <si>
    <t xml:space="preserve">abhi@runcopycat.com</t>
  </si>
  <si>
    <t xml:space="preserve">guess (public: hello@runcopycat.com)</t>
  </si>
  <si>
    <t xml:space="preserve">AI for insurance brokers: turns carrier quotes into proposals, compares quotes, flags discrepancies with source references.</t>
  </si>
  <si>
    <t xml:space="preserve">Proof match: Venkat's verifier checks every number an LLM writes against source data, same problem as CopyCat's quote comparisons. Site: testimonial 'Output is never invented' vs FAQ 'AI can make mistakes'.</t>
  </si>
  <si>
    <t xml:space="preserve">Seattle student who built an LLM number-checker</t>
  </si>
  <si>
    <t xml:space="preserve">Seattle local. Only role is a Founding AE.</t>
  </si>
  <si>
    <t xml:space="preserve">companies/02-39-copycat-ai.md</t>
  </si>
  <si>
    <t xml:space="preserve">https://runcopycat.com</t>
  </si>
  <si>
    <t xml:space="preserve">https://www.ycombinator.com/companies/copycat-ai</t>
  </si>
  <si>
    <t xml:space="preserve">hello@runcopycat.com</t>
  </si>
  <si>
    <t xml:space="preserve">Asimov</t>
  </si>
  <si>
    <t xml:space="preserve">Lyem Ningthou</t>
  </si>
  <si>
    <t xml:space="preserve">founders@tryasimov.ai</t>
  </si>
  <si>
    <t xml:space="preserve">Pays people to record everyday activities (egocentric video, 3D pose, depth) to train humanoid robots.</t>
  </si>
  <si>
    <t xml:space="preserve">Remote Data Collection Specialist and Strategic Ops Intern roles. Offer to collect in the Seattle area. Copy: 'We make your labor free' while the section says Asimov pays workers.</t>
  </si>
  <si>
    <t xml:space="preserve">Aug 15 thread.</t>
  </si>
  <si>
    <t xml:space="preserve">companies/02-40-asimov.md</t>
  </si>
  <si>
    <t xml:space="preserve">https://tryasimov.ai</t>
  </si>
  <si>
    <t xml:space="preserve">https://www.ycombinator.com/companies/asimov</t>
  </si>
  <si>
    <t xml:space="preserve">Metric</t>
  </si>
  <si>
    <t xml:space="preserve">Count</t>
  </si>
  <si>
    <t xml:space="preserve">Companies</t>
  </si>
  <si>
    <t xml:space="preserve">Waiting on build</t>
  </si>
  <si>
    <t xml:space="preserve">Verified</t>
  </si>
  <si>
    <t xml:space="preserve">Followed up</t>
  </si>
  <si>
    <t xml:space="preserve">Call scheduled</t>
  </si>
  <si>
    <t xml:space="preserve">No reply</t>
  </si>
  <si>
    <t xml:space="preserve">Skip</t>
  </si>
  <si>
    <t xml:space="preserve">Tier A (build)</t>
  </si>
  <si>
    <t xml:space="preserve">Tier B</t>
  </si>
  <si>
    <t xml:space="preserve">Tier C</t>
  </si>
  <si>
    <t xml:space="preserve">Reply rate (of sent)</t>
  </si>
  <si>
    <t xml:space="preserve">Yellow columns on Tracker are yours to edit: Status, Date sent, Follow-up sent, Response, Notes.</t>
  </si>
  <si>
    <t xml:space="preserve">Email, Email status and the columns after Draft BCC belong to the email finder (finder.py). Draft To / Draft BCC are who the Gmail draft is actually addressed to.</t>
  </si>
  <si>
    <t xml:space="preserve">Claude regenerates everything else each batch and keeps what you typed in the yellow columns.</t>
  </si>
  <si>
    <t xml:space="preserve">Follow-up due fills in 6 days after Date sent, and says 'done' once Follow-up sent has a date.</t>
  </si>
  <si>
    <t xml:space="preserve">Emails marked 'guess' in Email status are unverified. Check with Hunter.io or Apollo before sending.</t>
  </si>
  <si>
    <t xml:space="preserve">Every value item needs a quick check on the live site before you send.</t>
  </si>
  <si>
    <t xml:space="preserve">Tier A = Claude builds something for them. Tier B = strong observation. Tier C = lighter fit.</t>
  </si>
  <si>
    <t xml:space="preserve">Full drafts and follow-ups are in the repo under companies/ (path in Draft file).</t>
  </si>
  <si>
    <t xml:space="preserve">Close this file before asking Claude for the next batch, so it can be saved over.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</si>
</sst>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d"/>
    <numFmt numFmtId="166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seus.us/" TargetMode="External"/><Relationship Id="rId2" Type="http://schemas.openxmlformats.org/officeDocument/2006/relationships/hyperlink" Target="https://www.ycombinator.com/companies/theseus" TargetMode="External"/><Relationship Id="rId3" Type="http://schemas.openxmlformats.org/officeDocument/2006/relationships/hyperlink" Target="https://www.polymathrobotics.com/" TargetMode="External"/><Relationship Id="rId4" Type="http://schemas.openxmlformats.org/officeDocument/2006/relationships/hyperlink" Target="https://www.ycombinator.com/companies/polymath-robotics" TargetMode="External"/><Relationship Id="rId5" Type="http://schemas.openxmlformats.org/officeDocument/2006/relationships/hyperlink" Target="https://innate.bot/" TargetMode="External"/><Relationship Id="rId6" Type="http://schemas.openxmlformats.org/officeDocument/2006/relationships/hyperlink" Target="https://www.ycombinator.com/companies/innate" TargetMode="External"/><Relationship Id="rId7" Type="http://schemas.openxmlformats.org/officeDocument/2006/relationships/hyperlink" Target="https://almond.bot/" TargetMode="External"/><Relationship Id="rId8" Type="http://schemas.openxmlformats.org/officeDocument/2006/relationships/hyperlink" Target="https://www.ycombinator.com/companies/almond" TargetMode="External"/><Relationship Id="rId9" Type="http://schemas.openxmlformats.org/officeDocument/2006/relationships/hyperlink" Target="https://morpho.ai/" TargetMode="External"/><Relationship Id="rId10" Type="http://schemas.openxmlformats.org/officeDocument/2006/relationships/hyperlink" Target="https://www.ycombinator.com/companies/morphoai" TargetMode="External"/><Relationship Id="rId11" Type="http://schemas.openxmlformats.org/officeDocument/2006/relationships/hyperlink" Target="https://os3robotics.com/" TargetMode="External"/><Relationship Id="rId12" Type="http://schemas.openxmlformats.org/officeDocument/2006/relationships/hyperlink" Target="https://www.ycombinator.com/companies/os3" TargetMode="External"/><Relationship Id="rId13" Type="http://schemas.openxmlformats.org/officeDocument/2006/relationships/hyperlink" Target="https://darwinrobotics.ai/" TargetMode="External"/><Relationship Id="rId14" Type="http://schemas.openxmlformats.org/officeDocument/2006/relationships/hyperlink" Target="https://www.ycombinator.com/companies/darwin" TargetMode="External"/><Relationship Id="rId15" Type="http://schemas.openxmlformats.org/officeDocument/2006/relationships/hyperlink" Target="https://lightberry.com/" TargetMode="External"/><Relationship Id="rId16" Type="http://schemas.openxmlformats.org/officeDocument/2006/relationships/hyperlink" Target="https://www.ycombinator.com/companies/lightberry" TargetMode="External"/><Relationship Id="rId17" Type="http://schemas.openxmlformats.org/officeDocument/2006/relationships/hyperlink" Target="https://bucket.bot/" TargetMode="External"/><Relationship Id="rId18" Type="http://schemas.openxmlformats.org/officeDocument/2006/relationships/hyperlink" Target="https://www.ycombinator.com/companies/bucket-robotics" TargetMode="External"/><Relationship Id="rId19" Type="http://schemas.openxmlformats.org/officeDocument/2006/relationships/hyperlink" Target="https://saphira.ai/" TargetMode="External"/><Relationship Id="rId20" Type="http://schemas.openxmlformats.org/officeDocument/2006/relationships/hyperlink" Target="https://www.ycombinator.com/companies/saphira-ai" TargetMode="External"/><Relationship Id="rId21" Type="http://schemas.openxmlformats.org/officeDocument/2006/relationships/hyperlink" Target="https://yondu.ai/" TargetMode="External"/><Relationship Id="rId22" Type="http://schemas.openxmlformats.org/officeDocument/2006/relationships/hyperlink" Target="https://www.ycombinator.com/companies/yondu" TargetMode="External"/><Relationship Id="rId23" Type="http://schemas.openxmlformats.org/officeDocument/2006/relationships/hyperlink" Target="https://ultra.tech/" TargetMode="External"/><Relationship Id="rId24" Type="http://schemas.openxmlformats.org/officeDocument/2006/relationships/hyperlink" Target="https://www.ycombinator.com/companies/ultra" TargetMode="External"/><Relationship Id="rId25" Type="http://schemas.openxmlformats.org/officeDocument/2006/relationships/hyperlink" Target="https://proception.ai/" TargetMode="External"/><Relationship Id="rId26" Type="http://schemas.openxmlformats.org/officeDocument/2006/relationships/hyperlink" Target="https://www.ycombinator.com/companies/proception" TargetMode="External"/><Relationship Id="rId27" Type="http://schemas.openxmlformats.org/officeDocument/2006/relationships/hyperlink" Target="https://www.mbodi.ai/" TargetMode="External"/><Relationship Id="rId28" Type="http://schemas.openxmlformats.org/officeDocument/2006/relationships/hyperlink" Target="https://www.ycombinator.com/companies/mbodi-ai" TargetMode="External"/><Relationship Id="rId29" Type="http://schemas.openxmlformats.org/officeDocument/2006/relationships/hyperlink" Target="https://www.orangewood.co/" TargetMode="External"/><Relationship Id="rId30" Type="http://schemas.openxmlformats.org/officeDocument/2006/relationships/hyperlink" Target="https://www.ycombinator.com/companies/orangewood-labs" TargetMode="External"/><Relationship Id="rId31" Type="http://schemas.openxmlformats.org/officeDocument/2006/relationships/hyperlink" Target="https://www.reviserobotics.com/" TargetMode="External"/><Relationship Id="rId32" Type="http://schemas.openxmlformats.org/officeDocument/2006/relationships/hyperlink" Target="https://www.ycombinator.com/companies/revise-robotics" TargetMode="External"/><Relationship Id="rId33" Type="http://schemas.openxmlformats.org/officeDocument/2006/relationships/hyperlink" Target="https://aktoria.com/" TargetMode="External"/><Relationship Id="rId34" Type="http://schemas.openxmlformats.org/officeDocument/2006/relationships/hyperlink" Target="https://www.ycombinator.com/companies/aktoria-robotics" TargetMode="External"/><Relationship Id="rId35" Type="http://schemas.openxmlformats.org/officeDocument/2006/relationships/hyperlink" Target="https://www.starcloud.com/" TargetMode="External"/><Relationship Id="rId36" Type="http://schemas.openxmlformats.org/officeDocument/2006/relationships/hyperlink" Target="https://www.ycombinator.com/companies/starcloud" TargetMode="External"/><Relationship Id="rId37" Type="http://schemas.openxmlformats.org/officeDocument/2006/relationships/hyperlink" Target="https://www.featherhq.com/" TargetMode="External"/><Relationship Id="rId38" Type="http://schemas.openxmlformats.org/officeDocument/2006/relationships/hyperlink" Target="https://www.ycombinator.com/companies/feather" TargetMode="External"/><Relationship Id="rId39" Type="http://schemas.openxmlformats.org/officeDocument/2006/relationships/hyperlink" Target="https://silurian.ai/" TargetMode="External"/><Relationship Id="rId40" Type="http://schemas.openxmlformats.org/officeDocument/2006/relationships/hyperlink" Target="https://www.ycombinator.com/companies/silurian" TargetMode="External"/><Relationship Id="rId41" Type="http://schemas.openxmlformats.org/officeDocument/2006/relationships/hyperlink" Target="https://www.cerulion.com/" TargetMode="External"/><Relationship Id="rId42" Type="http://schemas.openxmlformats.org/officeDocument/2006/relationships/hyperlink" Target="https://www.ycombinator.com/companies/cerulion" TargetMode="External"/><Relationship Id="rId43" Type="http://schemas.openxmlformats.org/officeDocument/2006/relationships/hyperlink" Target="https://vernerobotics.com/" TargetMode="External"/><Relationship Id="rId44" Type="http://schemas.openxmlformats.org/officeDocument/2006/relationships/hyperlink" Target="https://www.ycombinator.com/companies/verne-robotics" TargetMode="External"/><Relationship Id="rId45" Type="http://schemas.openxmlformats.org/officeDocument/2006/relationships/hyperlink" Target="https://pivotrobotics.com/" TargetMode="External"/><Relationship Id="rId46" Type="http://schemas.openxmlformats.org/officeDocument/2006/relationships/hyperlink" Target="https://www.ycombinator.com/companies/pivot-robotics" TargetMode="External"/><Relationship Id="rId47" Type="http://schemas.openxmlformats.org/officeDocument/2006/relationships/hyperlink" Target="https://www.relari.ai/" TargetMode="External"/><Relationship Id="rId48" Type="http://schemas.openxmlformats.org/officeDocument/2006/relationships/hyperlink" Target="https://www.ycombinator.com/companies/relari" TargetMode="External"/><Relationship Id="rId49" Type="http://schemas.openxmlformats.org/officeDocument/2006/relationships/hyperlink" Target="https://www.tuesdaylabs.com/" TargetMode="External"/><Relationship Id="rId50" Type="http://schemas.openxmlformats.org/officeDocument/2006/relationships/hyperlink" Target="https://www.ycombinator.com/companies/tuesday-labs" TargetMode="External"/><Relationship Id="rId51" Type="http://schemas.openxmlformats.org/officeDocument/2006/relationships/hyperlink" Target="https://www.waddlelabs.ai/" TargetMode="External"/><Relationship Id="rId52" Type="http://schemas.openxmlformats.org/officeDocument/2006/relationships/hyperlink" Target="https://www.ycombinator.com/companies/waddle-labs" TargetMode="External"/><Relationship Id="rId53" Type="http://schemas.openxmlformats.org/officeDocument/2006/relationships/hyperlink" Target="https://www.onerobot.io/" TargetMode="External"/><Relationship Id="rId54" Type="http://schemas.openxmlformats.org/officeDocument/2006/relationships/hyperlink" Target="https://www.ycombinator.com/companies/one-robot" TargetMode="External"/><Relationship Id="rId55" Type="http://schemas.openxmlformats.org/officeDocument/2006/relationships/hyperlink" Target="https://runtime.si/" TargetMode="External"/><Relationship Id="rId56" Type="http://schemas.openxmlformats.org/officeDocument/2006/relationships/hyperlink" Target="https://www.ycombinator.com/companies/runtimesi" TargetMode="External"/><Relationship Id="rId57" Type="http://schemas.openxmlformats.org/officeDocument/2006/relationships/hyperlink" Target="https://roboticscenter.ai/" TargetMode="External"/><Relationship Id="rId58" Type="http://schemas.openxmlformats.org/officeDocument/2006/relationships/hyperlink" Target="https://www.ycombinator.com/companies/deepaware" TargetMode="External"/><Relationship Id="rId59" Type="http://schemas.openxmlformats.org/officeDocument/2006/relationships/hyperlink" Target="https://voltairlabs.com/" TargetMode="External"/><Relationship Id="rId60" Type="http://schemas.openxmlformats.org/officeDocument/2006/relationships/hyperlink" Target="https://www.ycombinator.com/companies/voltair" TargetMode="External"/><Relationship Id="rId61" Type="http://schemas.openxmlformats.org/officeDocument/2006/relationships/hyperlink" Target="https://arlo1.com/" TargetMode="External"/><Relationship Id="rId62" Type="http://schemas.openxmlformats.org/officeDocument/2006/relationships/hyperlink" Target="https://www.ycombinator.com/companies/arlo-industries" TargetMode="External"/><Relationship Id="rId63" Type="http://schemas.openxmlformats.org/officeDocument/2006/relationships/hyperlink" Target="https://www.tryoctapulse.com/" TargetMode="External"/><Relationship Id="rId64" Type="http://schemas.openxmlformats.org/officeDocument/2006/relationships/hyperlink" Target="https://www.ycombinator.com/companies/octapulse" TargetMode="External"/><Relationship Id="rId65" Type="http://schemas.openxmlformats.org/officeDocument/2006/relationships/hyperlink" Target="https://www.edenrobotics.ai/" TargetMode="External"/><Relationship Id="rId66" Type="http://schemas.openxmlformats.org/officeDocument/2006/relationships/hyperlink" Target="https://www.ycombinator.com/companies/eden-robotics" TargetMode="External"/><Relationship Id="rId67" Type="http://schemas.openxmlformats.org/officeDocument/2006/relationships/hyperlink" Target="https://dalus.io/" TargetMode="External"/><Relationship Id="rId68" Type="http://schemas.openxmlformats.org/officeDocument/2006/relationships/hyperlink" Target="https://www.ycombinator.com/companies/dalus" TargetMode="External"/><Relationship Id="rId69" Type="http://schemas.openxmlformats.org/officeDocument/2006/relationships/hyperlink" Target="https://adam.new/" TargetMode="External"/><Relationship Id="rId70" Type="http://schemas.openxmlformats.org/officeDocument/2006/relationships/hyperlink" Target="https://www.ycombinator.com/companies/adam" TargetMode="External"/><Relationship Id="rId71" Type="http://schemas.openxmlformats.org/officeDocument/2006/relationships/hyperlink" Target="https://outerport.com/" TargetMode="External"/><Relationship Id="rId72" Type="http://schemas.openxmlformats.org/officeDocument/2006/relationships/hyperlink" Target="https://www.ycombinator.com/companies/outerport" TargetMode="External"/><Relationship Id="rId73" Type="http://schemas.openxmlformats.org/officeDocument/2006/relationships/hyperlink" Target="https://simantic.com/" TargetMode="External"/><Relationship Id="rId74" Type="http://schemas.openxmlformats.org/officeDocument/2006/relationships/hyperlink" Target="https://www.ycombinator.com/companies/simantic" TargetMode="External"/><Relationship Id="rId75" Type="http://schemas.openxmlformats.org/officeDocument/2006/relationships/hyperlink" Target="https://chargerobotics.com/" TargetMode="External"/><Relationship Id="rId76" Type="http://schemas.openxmlformats.org/officeDocument/2006/relationships/hyperlink" Target="https://www.ycombinator.com/companies/charge-robotics" TargetMode="External"/><Relationship Id="rId77" Type="http://schemas.openxmlformats.org/officeDocument/2006/relationships/hyperlink" Target="https://runcopycat.com/" TargetMode="External"/><Relationship Id="rId78" Type="http://schemas.openxmlformats.org/officeDocument/2006/relationships/hyperlink" Target="https://www.ycombinator.com/companies/copycat-ai" TargetMode="External"/><Relationship Id="rId79" Type="http://schemas.openxmlformats.org/officeDocument/2006/relationships/hyperlink" Target="https://tryasimov.ai/" TargetMode="External"/><Relationship Id="rId80" Type="http://schemas.openxmlformats.org/officeDocument/2006/relationships/hyperlink" Target="https://www.ycombinator.com/companies/asimov" TargetMode="External"/><Relationship Id="rId8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45"/>
    <col collapsed="false" customWidth="true" hidden="false" outlineLevel="0" max="10" min="10" style="0" width="55"/>
    <col collapsed="false" customWidth="true" hidden="false" outlineLevel="0" max="11" min="11" style="0" width="30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25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0"/>
    <col collapsed="false" customWidth="true" hidden="false" outlineLevel="0" max="23" min="23" style="0" width="28"/>
    <col collapsed="false" customWidth="true" hidden="false" outlineLevel="0" max="24" min="24" style="0" width="30"/>
    <col collapsed="false" customWidth="true" hidden="false" outlineLevel="0" max="25" min="25" style="0" width="18"/>
    <col collapsed="false" customWidth="true" hidden="false" outlineLevel="0" max="26" min="26" style="0" width="10"/>
    <col collapsed="false" customWidth="true" hidden="false" outlineLevel="0" max="27" min="27" style="0" width="50"/>
    <col collapsed="false" customWidth="true" hidden="false" outlineLevel="0" max="28" min="28" style="0" width="15"/>
    <col collapsed="false" customWidth="true" hidden="false" outlineLevel="0" max="29" min="29" style="0" width="50"/>
  </cols>
  <sheetData>
    <row r="1" customFormat="false" ht="35.0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customFormat="false" ht="35.05" hidden="false" customHeight="false" outlineLevel="0" collapsed="false">
      <c r="A2" s="2" t="n">
        <v>1</v>
      </c>
      <c r="B2" s="2" t="n">
        <v>1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/>
      <c r="L2" s="2" t="s">
        <v>37</v>
      </c>
      <c r="M2" s="2" t="s">
        <v>38</v>
      </c>
      <c r="N2" s="3" t="s">
        <v>39</v>
      </c>
      <c r="O2" s="4" t="n">
        <v>46317</v>
      </c>
      <c r="P2" s="5" t="n">
        <f aca="false">IF(O2="","",IF(Q2&lt;&gt;"","done",O2+6))</f>
        <v>46323</v>
      </c>
      <c r="Q2" s="4"/>
      <c r="R2" s="3"/>
      <c r="S2" s="3" t="s">
        <v>40</v>
      </c>
      <c r="T2" s="2" t="s">
        <v>41</v>
      </c>
      <c r="U2" s="6" t="s">
        <v>42</v>
      </c>
      <c r="V2" s="6" t="s">
        <v>43</v>
      </c>
      <c r="W2" s="2" t="s">
        <v>33</v>
      </c>
      <c r="X2" s="2"/>
      <c r="Y2" s="2" t="s">
        <v>44</v>
      </c>
      <c r="Z2" s="2" t="n">
        <v>75</v>
      </c>
      <c r="AA2" s="2" t="s">
        <v>45</v>
      </c>
      <c r="AB2" s="2" t="s">
        <v>46</v>
      </c>
      <c r="AC2" s="2" t="s">
        <v>47</v>
      </c>
    </row>
    <row r="3" customFormat="false" ht="68.65" hidden="false" customHeight="false" outlineLevel="0" collapsed="false">
      <c r="A3" s="2" t="n">
        <v>2</v>
      </c>
      <c r="B3" s="2" t="n">
        <v>1</v>
      </c>
      <c r="C3" s="2" t="s">
        <v>48</v>
      </c>
      <c r="D3" s="2" t="s">
        <v>30</v>
      </c>
      <c r="E3" s="2" t="s">
        <v>49</v>
      </c>
      <c r="F3" s="2" t="s">
        <v>32</v>
      </c>
      <c r="G3" s="2" t="s">
        <v>50</v>
      </c>
      <c r="H3" s="2" t="s">
        <v>51</v>
      </c>
      <c r="I3" s="2" t="s">
        <v>52</v>
      </c>
      <c r="J3" s="2" t="s">
        <v>53</v>
      </c>
      <c r="K3" s="2"/>
      <c r="L3" s="2" t="s">
        <v>37</v>
      </c>
      <c r="M3" s="2" t="s">
        <v>54</v>
      </c>
      <c r="N3" s="3" t="s">
        <v>55</v>
      </c>
      <c r="O3" s="4" t="n">
        <v>46317</v>
      </c>
      <c r="P3" s="5" t="n">
        <f aca="false">IF(O3="","",IF(Q3&lt;&gt;"","done",O3+6))</f>
        <v>46323</v>
      </c>
      <c r="Q3" s="4"/>
      <c r="R3" s="3" t="s">
        <v>56</v>
      </c>
      <c r="S3" s="3" t="s">
        <v>57</v>
      </c>
      <c r="T3" s="2" t="s">
        <v>58</v>
      </c>
      <c r="U3" s="6" t="s">
        <v>59</v>
      </c>
      <c r="V3" s="6" t="s">
        <v>60</v>
      </c>
      <c r="W3" s="2" t="s">
        <v>50</v>
      </c>
      <c r="X3" s="2"/>
      <c r="Y3" s="2" t="s">
        <v>61</v>
      </c>
      <c r="Z3" s="2" t="n">
        <v>95</v>
      </c>
      <c r="AA3" s="2" t="s">
        <v>62</v>
      </c>
      <c r="AB3" s="2" t="s">
        <v>63</v>
      </c>
      <c r="AC3" s="2" t="s">
        <v>64</v>
      </c>
    </row>
    <row r="4" customFormat="false" ht="57.45" hidden="false" customHeight="false" outlineLevel="0" collapsed="false">
      <c r="A4" s="2" t="n">
        <v>3</v>
      </c>
      <c r="B4" s="2" t="n">
        <v>1</v>
      </c>
      <c r="C4" s="2" t="s">
        <v>65</v>
      </c>
      <c r="D4" s="2" t="s">
        <v>66</v>
      </c>
      <c r="E4" s="2" t="s">
        <v>67</v>
      </c>
      <c r="F4" s="2" t="s">
        <v>32</v>
      </c>
      <c r="G4" s="2" t="s">
        <v>68</v>
      </c>
      <c r="H4" s="2" t="s">
        <v>51</v>
      </c>
      <c r="I4" s="2" t="s">
        <v>69</v>
      </c>
      <c r="J4" s="2" t="s">
        <v>70</v>
      </c>
      <c r="K4" s="2" t="s">
        <v>71</v>
      </c>
      <c r="L4" s="2" t="s">
        <v>37</v>
      </c>
      <c r="M4" s="2" t="s">
        <v>72</v>
      </c>
      <c r="N4" s="3" t="s">
        <v>39</v>
      </c>
      <c r="O4" s="4" t="n">
        <v>46317</v>
      </c>
      <c r="P4" s="5" t="n">
        <f aca="false">IF(O4="","",IF(Q4&lt;&gt;"","done",O4+6))</f>
        <v>46323</v>
      </c>
      <c r="Q4" s="4"/>
      <c r="R4" s="3"/>
      <c r="S4" s="3" t="s">
        <v>73</v>
      </c>
      <c r="T4" s="2" t="s">
        <v>74</v>
      </c>
      <c r="U4" s="6" t="s">
        <v>75</v>
      </c>
      <c r="V4" s="6" t="s">
        <v>76</v>
      </c>
      <c r="W4" s="2" t="s">
        <v>68</v>
      </c>
      <c r="X4" s="2"/>
      <c r="Y4" s="2" t="s">
        <v>77</v>
      </c>
      <c r="Z4" s="2" t="n">
        <v>95</v>
      </c>
      <c r="AA4" s="2" t="s">
        <v>78</v>
      </c>
      <c r="AB4" s="2" t="s">
        <v>63</v>
      </c>
      <c r="AC4" s="2" t="s">
        <v>79</v>
      </c>
    </row>
    <row r="5" customFormat="false" ht="57.45" hidden="false" customHeight="false" outlineLevel="0" collapsed="false">
      <c r="A5" s="2" t="n">
        <v>4</v>
      </c>
      <c r="B5" s="2" t="n">
        <v>1</v>
      </c>
      <c r="C5" s="2" t="s">
        <v>80</v>
      </c>
      <c r="D5" s="2" t="s">
        <v>66</v>
      </c>
      <c r="E5" s="2" t="s">
        <v>81</v>
      </c>
      <c r="F5" s="2" t="s">
        <v>82</v>
      </c>
      <c r="G5" s="2" t="s">
        <v>83</v>
      </c>
      <c r="H5" s="2" t="s">
        <v>84</v>
      </c>
      <c r="I5" s="2" t="s">
        <v>85</v>
      </c>
      <c r="J5" s="2" t="s">
        <v>86</v>
      </c>
      <c r="K5" s="2" t="s">
        <v>87</v>
      </c>
      <c r="L5" s="2" t="s">
        <v>37</v>
      </c>
      <c r="M5" s="2" t="s">
        <v>88</v>
      </c>
      <c r="N5" s="3" t="s">
        <v>39</v>
      </c>
      <c r="O5" s="4" t="n">
        <v>46317</v>
      </c>
      <c r="P5" s="5" t="n">
        <f aca="false">IF(O5="","",IF(Q5&lt;&gt;"","done",O5+6))</f>
        <v>46323</v>
      </c>
      <c r="Q5" s="4"/>
      <c r="R5" s="3"/>
      <c r="S5" s="3" t="s">
        <v>89</v>
      </c>
      <c r="T5" s="2" t="s">
        <v>90</v>
      </c>
      <c r="U5" s="6" t="s">
        <v>91</v>
      </c>
      <c r="V5" s="6" t="s">
        <v>92</v>
      </c>
      <c r="W5" s="2" t="s">
        <v>83</v>
      </c>
      <c r="X5" s="2" t="s">
        <v>93</v>
      </c>
      <c r="Y5" s="2" t="s">
        <v>94</v>
      </c>
      <c r="Z5" s="2" t="n">
        <v>40</v>
      </c>
      <c r="AA5" s="2" t="s">
        <v>95</v>
      </c>
      <c r="AB5" s="2" t="s">
        <v>46</v>
      </c>
      <c r="AC5" s="2" t="s">
        <v>96</v>
      </c>
    </row>
    <row r="6" customFormat="false" ht="46.25" hidden="false" customHeight="false" outlineLevel="0" collapsed="false">
      <c r="A6" s="2" t="n">
        <v>5</v>
      </c>
      <c r="B6" s="2" t="n">
        <v>1</v>
      </c>
      <c r="C6" s="2" t="s">
        <v>97</v>
      </c>
      <c r="D6" s="2" t="s">
        <v>66</v>
      </c>
      <c r="E6" s="2" t="s">
        <v>98</v>
      </c>
      <c r="F6" s="2" t="s">
        <v>32</v>
      </c>
      <c r="G6" s="2" t="s">
        <v>99</v>
      </c>
      <c r="H6" s="2" t="s">
        <v>100</v>
      </c>
      <c r="I6" s="2" t="s">
        <v>101</v>
      </c>
      <c r="J6" s="2" t="s">
        <v>102</v>
      </c>
      <c r="K6" s="2" t="s">
        <v>103</v>
      </c>
      <c r="L6" s="2" t="s">
        <v>37</v>
      </c>
      <c r="M6" s="2" t="s">
        <v>104</v>
      </c>
      <c r="N6" s="3" t="s">
        <v>39</v>
      </c>
      <c r="O6" s="4" t="n">
        <v>46317</v>
      </c>
      <c r="P6" s="5" t="n">
        <f aca="false">IF(O6="","",IF(Q6&lt;&gt;"","done",O6+6))</f>
        <v>46323</v>
      </c>
      <c r="Q6" s="4"/>
      <c r="R6" s="3"/>
      <c r="S6" s="3" t="s">
        <v>105</v>
      </c>
      <c r="T6" s="2" t="s">
        <v>106</v>
      </c>
      <c r="U6" s="6" t="s">
        <v>107</v>
      </c>
      <c r="V6" s="6" t="s">
        <v>108</v>
      </c>
      <c r="W6" s="2" t="s">
        <v>99</v>
      </c>
      <c r="X6" s="2" t="s">
        <v>109</v>
      </c>
      <c r="Y6" s="2" t="s">
        <v>110</v>
      </c>
      <c r="Z6" s="2" t="n">
        <v>40</v>
      </c>
      <c r="AA6" s="2" t="s">
        <v>111</v>
      </c>
      <c r="AB6" s="2" t="s">
        <v>46</v>
      </c>
      <c r="AC6" s="2" t="s">
        <v>112</v>
      </c>
    </row>
    <row r="7" customFormat="false" ht="57.45" hidden="false" customHeight="false" outlineLevel="0" collapsed="false">
      <c r="A7" s="2" t="n">
        <v>6</v>
      </c>
      <c r="B7" s="2" t="n">
        <v>1</v>
      </c>
      <c r="C7" s="2" t="s">
        <v>113</v>
      </c>
      <c r="D7" s="2" t="s">
        <v>30</v>
      </c>
      <c r="E7" s="2" t="s">
        <v>114</v>
      </c>
      <c r="F7" s="2" t="s">
        <v>115</v>
      </c>
      <c r="G7" s="2" t="s">
        <v>116</v>
      </c>
      <c r="H7" s="2" t="s">
        <v>117</v>
      </c>
      <c r="I7" s="2" t="s">
        <v>118</v>
      </c>
      <c r="J7" s="2" t="s">
        <v>119</v>
      </c>
      <c r="K7" s="2"/>
      <c r="L7" s="2" t="s">
        <v>37</v>
      </c>
      <c r="M7" s="2" t="s">
        <v>120</v>
      </c>
      <c r="N7" s="3" t="s">
        <v>39</v>
      </c>
      <c r="O7" s="4" t="n">
        <v>46316</v>
      </c>
      <c r="P7" s="5" t="n">
        <f aca="false">IF(O7="","",IF(Q7&lt;&gt;"","done",O7+6))</f>
        <v>46322</v>
      </c>
      <c r="Q7" s="4"/>
      <c r="R7" s="3"/>
      <c r="S7" s="3" t="s">
        <v>121</v>
      </c>
      <c r="T7" s="2" t="s">
        <v>122</v>
      </c>
      <c r="U7" s="6" t="s">
        <v>123</v>
      </c>
      <c r="V7" s="6" t="s">
        <v>124</v>
      </c>
      <c r="W7" s="2" t="s">
        <v>125</v>
      </c>
      <c r="X7" s="2" t="s">
        <v>116</v>
      </c>
      <c r="Y7" s="2" t="s">
        <v>126</v>
      </c>
      <c r="Z7" s="2" t="n">
        <v>40</v>
      </c>
      <c r="AA7" s="2" t="s">
        <v>95</v>
      </c>
      <c r="AB7" s="2" t="s">
        <v>46</v>
      </c>
      <c r="AC7" s="2" t="s">
        <v>127</v>
      </c>
    </row>
    <row r="8" customFormat="false" ht="57.45" hidden="false" customHeight="false" outlineLevel="0" collapsed="false">
      <c r="A8" s="2" t="n">
        <v>7</v>
      </c>
      <c r="B8" s="2" t="n">
        <v>1</v>
      </c>
      <c r="C8" s="2" t="s">
        <v>128</v>
      </c>
      <c r="D8" s="2" t="s">
        <v>129</v>
      </c>
      <c r="E8" s="2" t="s">
        <v>130</v>
      </c>
      <c r="F8" s="2" t="s">
        <v>131</v>
      </c>
      <c r="G8" s="2" t="s">
        <v>132</v>
      </c>
      <c r="H8" s="2" t="s">
        <v>117</v>
      </c>
      <c r="I8" s="2" t="s">
        <v>133</v>
      </c>
      <c r="J8" s="2" t="s">
        <v>134</v>
      </c>
      <c r="K8" s="2"/>
      <c r="L8" s="2" t="s">
        <v>37</v>
      </c>
      <c r="M8" s="2" t="s">
        <v>135</v>
      </c>
      <c r="N8" s="3" t="s">
        <v>39</v>
      </c>
      <c r="O8" s="4" t="n">
        <v>46317</v>
      </c>
      <c r="P8" s="5" t="n">
        <f aca="false">IF(O8="","",IF(Q8&lt;&gt;"","done",O8+6))</f>
        <v>46323</v>
      </c>
      <c r="Q8" s="4"/>
      <c r="R8" s="3"/>
      <c r="S8" s="3" t="s">
        <v>136</v>
      </c>
      <c r="T8" s="2" t="s">
        <v>137</v>
      </c>
      <c r="U8" s="6" t="s">
        <v>138</v>
      </c>
      <c r="V8" s="6" t="s">
        <v>139</v>
      </c>
      <c r="W8" s="2" t="s">
        <v>132</v>
      </c>
      <c r="X8" s="2" t="s">
        <v>140</v>
      </c>
      <c r="Y8" s="2" t="s">
        <v>141</v>
      </c>
      <c r="Z8" s="2" t="n">
        <v>40</v>
      </c>
      <c r="AA8" s="2" t="s">
        <v>142</v>
      </c>
      <c r="AB8" s="2" t="s">
        <v>46</v>
      </c>
      <c r="AC8" s="2" t="s">
        <v>143</v>
      </c>
    </row>
    <row r="9" customFormat="false" ht="57.45" hidden="false" customHeight="false" outlineLevel="0" collapsed="false">
      <c r="A9" s="2" t="n">
        <v>8</v>
      </c>
      <c r="B9" s="2" t="n">
        <v>1</v>
      </c>
      <c r="C9" s="2" t="s">
        <v>144</v>
      </c>
      <c r="D9" s="2" t="s">
        <v>30</v>
      </c>
      <c r="E9" s="2" t="s">
        <v>145</v>
      </c>
      <c r="F9" s="2" t="s">
        <v>32</v>
      </c>
      <c r="G9" s="2" t="s">
        <v>146</v>
      </c>
      <c r="H9" s="2" t="s">
        <v>117</v>
      </c>
      <c r="I9" s="2" t="s">
        <v>147</v>
      </c>
      <c r="J9" s="2" t="s">
        <v>148</v>
      </c>
      <c r="K9" s="2"/>
      <c r="L9" s="2" t="s">
        <v>149</v>
      </c>
      <c r="M9" s="2" t="s">
        <v>150</v>
      </c>
      <c r="N9" s="3" t="s">
        <v>39</v>
      </c>
      <c r="O9" s="4" t="n">
        <v>46316</v>
      </c>
      <c r="P9" s="5" t="n">
        <f aca="false">IF(O9="","",IF(Q9&lt;&gt;"","done",O9+6))</f>
        <v>46322</v>
      </c>
      <c r="Q9" s="4"/>
      <c r="R9" s="3"/>
      <c r="S9" s="3" t="s">
        <v>151</v>
      </c>
      <c r="T9" s="2" t="s">
        <v>152</v>
      </c>
      <c r="U9" s="6" t="s">
        <v>153</v>
      </c>
      <c r="V9" s="6" t="s">
        <v>154</v>
      </c>
      <c r="W9" s="2" t="s">
        <v>155</v>
      </c>
      <c r="X9" s="2"/>
      <c r="Y9" s="2" t="s">
        <v>156</v>
      </c>
      <c r="Z9" s="2" t="n">
        <v>30</v>
      </c>
      <c r="AA9" s="2" t="s">
        <v>157</v>
      </c>
      <c r="AB9" s="2" t="s">
        <v>46</v>
      </c>
      <c r="AC9" s="2" t="s">
        <v>158</v>
      </c>
    </row>
    <row r="10" customFormat="false" ht="35.05" hidden="false" customHeight="false" outlineLevel="0" collapsed="false">
      <c r="A10" s="2" t="n">
        <v>9</v>
      </c>
      <c r="B10" s="2" t="n">
        <v>1</v>
      </c>
      <c r="C10" s="2" t="s">
        <v>159</v>
      </c>
      <c r="D10" s="2" t="s">
        <v>129</v>
      </c>
      <c r="E10" s="2" t="s">
        <v>160</v>
      </c>
      <c r="F10" s="2" t="s">
        <v>131</v>
      </c>
      <c r="G10" s="2" t="s">
        <v>161</v>
      </c>
      <c r="H10" s="2" t="s">
        <v>51</v>
      </c>
      <c r="I10" s="2" t="s">
        <v>162</v>
      </c>
      <c r="J10" s="2" t="s">
        <v>163</v>
      </c>
      <c r="K10" s="2"/>
      <c r="L10" s="2" t="s">
        <v>37</v>
      </c>
      <c r="M10" s="2" t="s">
        <v>164</v>
      </c>
      <c r="N10" s="3" t="s">
        <v>39</v>
      </c>
      <c r="O10" s="4" t="n">
        <v>46317</v>
      </c>
      <c r="P10" s="5" t="n">
        <f aca="false">IF(O10="","",IF(Q10&lt;&gt;"","done",O10+6))</f>
        <v>46323</v>
      </c>
      <c r="Q10" s="4"/>
      <c r="R10" s="3"/>
      <c r="S10" s="3" t="s">
        <v>165</v>
      </c>
      <c r="T10" s="2" t="s">
        <v>166</v>
      </c>
      <c r="U10" s="6" t="s">
        <v>167</v>
      </c>
      <c r="V10" s="6" t="s">
        <v>168</v>
      </c>
      <c r="W10" s="2" t="s">
        <v>161</v>
      </c>
      <c r="X10" s="2"/>
      <c r="Y10" s="2" t="s">
        <v>169</v>
      </c>
      <c r="Z10" s="2" t="n">
        <v>95</v>
      </c>
      <c r="AA10" s="2" t="s">
        <v>170</v>
      </c>
      <c r="AB10" s="2" t="s">
        <v>171</v>
      </c>
      <c r="AC10" s="2" t="s">
        <v>172</v>
      </c>
    </row>
    <row r="11" customFormat="false" ht="35.05" hidden="false" customHeight="false" outlineLevel="0" collapsed="false">
      <c r="A11" s="2" t="n">
        <v>10</v>
      </c>
      <c r="B11" s="2" t="n">
        <v>1</v>
      </c>
      <c r="C11" s="2" t="s">
        <v>173</v>
      </c>
      <c r="D11" s="2" t="s">
        <v>129</v>
      </c>
      <c r="E11" s="2" t="s">
        <v>174</v>
      </c>
      <c r="F11" s="2" t="s">
        <v>82</v>
      </c>
      <c r="G11" s="2" t="s">
        <v>175</v>
      </c>
      <c r="H11" s="2" t="s">
        <v>51</v>
      </c>
      <c r="I11" s="2" t="s">
        <v>176</v>
      </c>
      <c r="J11" s="2" t="s">
        <v>177</v>
      </c>
      <c r="K11" s="2"/>
      <c r="L11" s="2" t="s">
        <v>37</v>
      </c>
      <c r="M11" s="2" t="s">
        <v>178</v>
      </c>
      <c r="N11" s="3" t="s">
        <v>39</v>
      </c>
      <c r="O11" s="4" t="n">
        <v>46317</v>
      </c>
      <c r="P11" s="5" t="n">
        <f aca="false">IF(O11="","",IF(Q11&lt;&gt;"","done",O11+6))</f>
        <v>46323</v>
      </c>
      <c r="Q11" s="4"/>
      <c r="R11" s="3"/>
      <c r="S11" s="3" t="s">
        <v>179</v>
      </c>
      <c r="T11" s="2" t="s">
        <v>180</v>
      </c>
      <c r="U11" s="6" t="s">
        <v>181</v>
      </c>
      <c r="V11" s="6" t="s">
        <v>182</v>
      </c>
      <c r="W11" s="2" t="s">
        <v>175</v>
      </c>
      <c r="X11" s="2"/>
      <c r="Y11" s="2" t="s">
        <v>183</v>
      </c>
      <c r="Z11" s="2" t="n">
        <v>95</v>
      </c>
      <c r="AA11" s="2" t="s">
        <v>181</v>
      </c>
      <c r="AB11" s="2" t="s">
        <v>63</v>
      </c>
      <c r="AC11" s="2" t="s">
        <v>184</v>
      </c>
    </row>
    <row r="12" customFormat="false" ht="46.25" hidden="false" customHeight="false" outlineLevel="0" collapsed="false">
      <c r="A12" s="2" t="n">
        <v>11</v>
      </c>
      <c r="B12" s="2" t="n">
        <v>1</v>
      </c>
      <c r="C12" s="2" t="s">
        <v>185</v>
      </c>
      <c r="D12" s="2" t="s">
        <v>30</v>
      </c>
      <c r="E12" s="2" t="s">
        <v>186</v>
      </c>
      <c r="F12" s="2" t="s">
        <v>131</v>
      </c>
      <c r="G12" s="2" t="s">
        <v>187</v>
      </c>
      <c r="H12" s="2" t="s">
        <v>188</v>
      </c>
      <c r="I12" s="2" t="s">
        <v>189</v>
      </c>
      <c r="J12" s="2" t="s">
        <v>190</v>
      </c>
      <c r="K12" s="2"/>
      <c r="L12" s="2" t="s">
        <v>37</v>
      </c>
      <c r="M12" s="2" t="s">
        <v>191</v>
      </c>
      <c r="N12" s="3" t="s">
        <v>39</v>
      </c>
      <c r="O12" s="4" t="n">
        <v>46317</v>
      </c>
      <c r="P12" s="5" t="n">
        <f aca="false">IF(O12="","",IF(Q12&lt;&gt;"","done",O12+6))</f>
        <v>46323</v>
      </c>
      <c r="Q12" s="4"/>
      <c r="R12" s="3"/>
      <c r="S12" s="3" t="s">
        <v>192</v>
      </c>
      <c r="T12" s="2" t="s">
        <v>193</v>
      </c>
      <c r="U12" s="6" t="s">
        <v>194</v>
      </c>
      <c r="V12" s="6" t="s">
        <v>195</v>
      </c>
      <c r="W12" s="2" t="s">
        <v>187</v>
      </c>
      <c r="X12" s="2" t="s">
        <v>196</v>
      </c>
      <c r="Y12" s="2" t="s">
        <v>197</v>
      </c>
      <c r="Z12" s="2" t="n">
        <v>40</v>
      </c>
      <c r="AA12" s="2" t="s">
        <v>198</v>
      </c>
      <c r="AB12" s="2" t="s">
        <v>46</v>
      </c>
      <c r="AC12" s="2" t="s">
        <v>199</v>
      </c>
    </row>
    <row r="13" customFormat="false" ht="46.25" hidden="false" customHeight="false" outlineLevel="0" collapsed="false">
      <c r="A13" s="2" t="n">
        <v>12</v>
      </c>
      <c r="B13" s="2" t="n">
        <v>1</v>
      </c>
      <c r="C13" s="2" t="s">
        <v>200</v>
      </c>
      <c r="D13" s="2" t="s">
        <v>30</v>
      </c>
      <c r="E13" s="2" t="s">
        <v>201</v>
      </c>
      <c r="F13" s="2" t="s">
        <v>32</v>
      </c>
      <c r="G13" s="2" t="s">
        <v>202</v>
      </c>
      <c r="H13" s="2" t="s">
        <v>117</v>
      </c>
      <c r="I13" s="2" t="s">
        <v>203</v>
      </c>
      <c r="J13" s="2" t="s">
        <v>204</v>
      </c>
      <c r="K13" s="2"/>
      <c r="L13" s="2" t="s">
        <v>37</v>
      </c>
      <c r="M13" s="2" t="s">
        <v>205</v>
      </c>
      <c r="N13" s="3" t="s">
        <v>39</v>
      </c>
      <c r="O13" s="4" t="n">
        <v>46316</v>
      </c>
      <c r="P13" s="5" t="n">
        <f aca="false">IF(O13="","",IF(Q13&lt;&gt;"","done",O13+6))</f>
        <v>46322</v>
      </c>
      <c r="Q13" s="4"/>
      <c r="R13" s="3"/>
      <c r="S13" s="3" t="s">
        <v>206</v>
      </c>
      <c r="T13" s="2" t="s">
        <v>207</v>
      </c>
      <c r="U13" s="6" t="s">
        <v>208</v>
      </c>
      <c r="V13" s="6" t="s">
        <v>209</v>
      </c>
      <c r="W13" s="2" t="s">
        <v>210</v>
      </c>
      <c r="X13" s="2" t="s">
        <v>202</v>
      </c>
      <c r="Y13" s="2" t="s">
        <v>211</v>
      </c>
      <c r="Z13" s="2" t="n">
        <v>40</v>
      </c>
      <c r="AA13" s="2" t="s">
        <v>212</v>
      </c>
      <c r="AB13" s="2" t="s">
        <v>46</v>
      </c>
      <c r="AC13" s="2" t="s">
        <v>213</v>
      </c>
    </row>
    <row r="14" customFormat="false" ht="35.05" hidden="false" customHeight="false" outlineLevel="0" collapsed="false">
      <c r="A14" s="2" t="n">
        <v>13</v>
      </c>
      <c r="B14" s="2" t="n">
        <v>1</v>
      </c>
      <c r="C14" s="2" t="s">
        <v>214</v>
      </c>
      <c r="D14" s="2" t="s">
        <v>129</v>
      </c>
      <c r="E14" s="2" t="s">
        <v>215</v>
      </c>
      <c r="F14" s="2" t="s">
        <v>131</v>
      </c>
      <c r="G14" s="2" t="s">
        <v>216</v>
      </c>
      <c r="H14" s="2" t="s">
        <v>51</v>
      </c>
      <c r="I14" s="2" t="s">
        <v>217</v>
      </c>
      <c r="J14" s="2" t="s">
        <v>218</v>
      </c>
      <c r="K14" s="2"/>
      <c r="L14" s="2" t="s">
        <v>37</v>
      </c>
      <c r="M14" s="2" t="s">
        <v>219</v>
      </c>
      <c r="N14" s="3" t="s">
        <v>39</v>
      </c>
      <c r="O14" s="4" t="n">
        <v>46317</v>
      </c>
      <c r="P14" s="5" t="n">
        <f aca="false">IF(O14="","",IF(Q14&lt;&gt;"","done",O14+6))</f>
        <v>46323</v>
      </c>
      <c r="Q14" s="4"/>
      <c r="R14" s="3"/>
      <c r="S14" s="3" t="s">
        <v>220</v>
      </c>
      <c r="T14" s="2" t="s">
        <v>221</v>
      </c>
      <c r="U14" s="6" t="s">
        <v>222</v>
      </c>
      <c r="V14" s="6" t="s">
        <v>223</v>
      </c>
      <c r="W14" s="2" t="s">
        <v>216</v>
      </c>
      <c r="X14" s="2"/>
      <c r="Y14" s="2" t="s">
        <v>224</v>
      </c>
      <c r="Z14" s="2" t="n">
        <v>95</v>
      </c>
      <c r="AA14" s="2" t="s">
        <v>225</v>
      </c>
      <c r="AB14" s="2" t="s">
        <v>63</v>
      </c>
      <c r="AC14" s="2" t="s">
        <v>226</v>
      </c>
    </row>
    <row r="15" customFormat="false" ht="35.05" hidden="false" customHeight="false" outlineLevel="0" collapsed="false">
      <c r="A15" s="2" t="n">
        <v>14</v>
      </c>
      <c r="B15" s="2" t="n">
        <v>1</v>
      </c>
      <c r="C15" s="2" t="s">
        <v>227</v>
      </c>
      <c r="D15" s="2" t="s">
        <v>30</v>
      </c>
      <c r="E15" s="2" t="s">
        <v>228</v>
      </c>
      <c r="F15" s="2" t="s">
        <v>131</v>
      </c>
      <c r="G15" s="2" t="s">
        <v>229</v>
      </c>
      <c r="H15" s="2" t="s">
        <v>51</v>
      </c>
      <c r="I15" s="2" t="s">
        <v>230</v>
      </c>
      <c r="J15" s="2" t="s">
        <v>231</v>
      </c>
      <c r="K15" s="2"/>
      <c r="L15" s="2" t="s">
        <v>37</v>
      </c>
      <c r="M15" s="2" t="s">
        <v>232</v>
      </c>
      <c r="N15" s="3" t="s">
        <v>39</v>
      </c>
      <c r="O15" s="4" t="n">
        <v>46317</v>
      </c>
      <c r="P15" s="5" t="n">
        <f aca="false">IF(O15="","",IF(Q15&lt;&gt;"","done",O15+6))</f>
        <v>46323</v>
      </c>
      <c r="Q15" s="4"/>
      <c r="R15" s="3"/>
      <c r="S15" s="3" t="s">
        <v>233</v>
      </c>
      <c r="T15" s="2" t="s">
        <v>234</v>
      </c>
      <c r="U15" s="6" t="s">
        <v>235</v>
      </c>
      <c r="V15" s="6" t="s">
        <v>236</v>
      </c>
      <c r="W15" s="2" t="s">
        <v>229</v>
      </c>
      <c r="X15" s="2"/>
      <c r="Y15" s="2" t="s">
        <v>237</v>
      </c>
      <c r="Z15" s="2" t="n">
        <v>95</v>
      </c>
      <c r="AA15" s="2" t="s">
        <v>238</v>
      </c>
      <c r="AB15" s="2" t="s">
        <v>63</v>
      </c>
      <c r="AC15" s="2" t="s">
        <v>239</v>
      </c>
    </row>
    <row r="16" customFormat="false" ht="35.05" hidden="false" customHeight="false" outlineLevel="0" collapsed="false">
      <c r="A16" s="2" t="n">
        <v>15</v>
      </c>
      <c r="B16" s="2" t="n">
        <v>1</v>
      </c>
      <c r="C16" s="2" t="s">
        <v>240</v>
      </c>
      <c r="D16" s="2" t="s">
        <v>129</v>
      </c>
      <c r="E16" s="2" t="s">
        <v>241</v>
      </c>
      <c r="F16" s="2" t="s">
        <v>115</v>
      </c>
      <c r="G16" s="2" t="s">
        <v>242</v>
      </c>
      <c r="H16" s="2" t="s">
        <v>243</v>
      </c>
      <c r="I16" s="2" t="s">
        <v>244</v>
      </c>
      <c r="J16" s="2" t="s">
        <v>245</v>
      </c>
      <c r="K16" s="2"/>
      <c r="L16" s="2" t="s">
        <v>37</v>
      </c>
      <c r="M16" s="2" t="s">
        <v>246</v>
      </c>
      <c r="N16" s="3" t="s">
        <v>39</v>
      </c>
      <c r="O16" s="4" t="n">
        <v>46317</v>
      </c>
      <c r="P16" s="5" t="n">
        <f aca="false">IF(O16="","",IF(Q16&lt;&gt;"","done",O16+6))</f>
        <v>46323</v>
      </c>
      <c r="Q16" s="4"/>
      <c r="R16" s="3"/>
      <c r="S16" s="3" t="s">
        <v>247</v>
      </c>
      <c r="T16" s="2" t="s">
        <v>248</v>
      </c>
      <c r="U16" s="6" t="s">
        <v>249</v>
      </c>
      <c r="V16" s="6" t="s">
        <v>250</v>
      </c>
      <c r="W16" s="2" t="s">
        <v>242</v>
      </c>
      <c r="X16" s="2" t="s">
        <v>251</v>
      </c>
      <c r="Y16" s="2" t="s">
        <v>252</v>
      </c>
      <c r="Z16" s="2" t="n">
        <v>40</v>
      </c>
      <c r="AA16" s="2" t="s">
        <v>95</v>
      </c>
      <c r="AB16" s="2" t="s">
        <v>46</v>
      </c>
      <c r="AC16" s="2" t="s">
        <v>253</v>
      </c>
    </row>
    <row r="17" customFormat="false" ht="57.45" hidden="false" customHeight="false" outlineLevel="0" collapsed="false">
      <c r="A17" s="2" t="n">
        <v>16</v>
      </c>
      <c r="B17" s="2" t="n">
        <v>1</v>
      </c>
      <c r="C17" s="2" t="s">
        <v>254</v>
      </c>
      <c r="D17" s="2" t="s">
        <v>66</v>
      </c>
      <c r="E17" s="2" t="s">
        <v>255</v>
      </c>
      <c r="F17" s="2" t="s">
        <v>131</v>
      </c>
      <c r="G17" s="2" t="s">
        <v>256</v>
      </c>
      <c r="H17" s="2" t="s">
        <v>51</v>
      </c>
      <c r="I17" s="2" t="s">
        <v>257</v>
      </c>
      <c r="J17" s="2" t="s">
        <v>258</v>
      </c>
      <c r="K17" s="2" t="s">
        <v>259</v>
      </c>
      <c r="L17" s="2" t="s">
        <v>37</v>
      </c>
      <c r="M17" s="2" t="s">
        <v>260</v>
      </c>
      <c r="N17" s="3" t="s">
        <v>39</v>
      </c>
      <c r="O17" s="4" t="n">
        <v>46316</v>
      </c>
      <c r="P17" s="5" t="n">
        <f aca="false">IF(O17="","",IF(Q17&lt;&gt;"","done",O17+6))</f>
        <v>46322</v>
      </c>
      <c r="Q17" s="4"/>
      <c r="R17" s="3"/>
      <c r="S17" s="3" t="s">
        <v>261</v>
      </c>
      <c r="T17" s="2" t="s">
        <v>262</v>
      </c>
      <c r="U17" s="6" t="s">
        <v>263</v>
      </c>
      <c r="V17" s="6" t="s">
        <v>264</v>
      </c>
      <c r="W17" s="2" t="s">
        <v>256</v>
      </c>
      <c r="X17" s="2"/>
      <c r="Y17" s="2" t="s">
        <v>265</v>
      </c>
      <c r="Z17" s="2" t="n">
        <v>96</v>
      </c>
      <c r="AA17" s="2" t="s">
        <v>264</v>
      </c>
      <c r="AB17" s="2" t="s">
        <v>171</v>
      </c>
      <c r="AC17" s="2" t="s">
        <v>266</v>
      </c>
    </row>
    <row r="18" customFormat="false" ht="46.25" hidden="false" customHeight="false" outlineLevel="0" collapsed="false">
      <c r="A18" s="2" t="n">
        <v>17</v>
      </c>
      <c r="B18" s="2" t="n">
        <v>1</v>
      </c>
      <c r="C18" s="2" t="s">
        <v>267</v>
      </c>
      <c r="D18" s="2" t="s">
        <v>30</v>
      </c>
      <c r="E18" s="2" t="s">
        <v>268</v>
      </c>
      <c r="F18" s="2" t="s">
        <v>115</v>
      </c>
      <c r="G18" s="2" t="s">
        <v>269</v>
      </c>
      <c r="H18" s="2" t="s">
        <v>270</v>
      </c>
      <c r="I18" s="2" t="s">
        <v>271</v>
      </c>
      <c r="J18" s="2" t="s">
        <v>272</v>
      </c>
      <c r="K18" s="2"/>
      <c r="L18" s="2" t="s">
        <v>37</v>
      </c>
      <c r="M18" s="2" t="s">
        <v>273</v>
      </c>
      <c r="N18" s="3" t="s">
        <v>39</v>
      </c>
      <c r="O18" s="4" t="n">
        <v>46317</v>
      </c>
      <c r="P18" s="5" t="n">
        <f aca="false">IF(O18="","",IF(Q18&lt;&gt;"","done",O18+6))</f>
        <v>46323</v>
      </c>
      <c r="Q18" s="4"/>
      <c r="R18" s="3"/>
      <c r="S18" s="3" t="s">
        <v>274</v>
      </c>
      <c r="T18" s="2" t="s">
        <v>275</v>
      </c>
      <c r="U18" s="6" t="s">
        <v>276</v>
      </c>
      <c r="V18" s="6" t="s">
        <v>277</v>
      </c>
      <c r="W18" s="2" t="s">
        <v>269</v>
      </c>
      <c r="X18" s="2"/>
      <c r="Y18" s="2" t="s">
        <v>278</v>
      </c>
      <c r="Z18" s="2" t="n">
        <v>99</v>
      </c>
      <c r="AA18" s="2" t="s">
        <v>279</v>
      </c>
      <c r="AB18" s="2" t="s">
        <v>46</v>
      </c>
      <c r="AC18" s="2" t="s">
        <v>280</v>
      </c>
    </row>
    <row r="19" customFormat="false" ht="35.05" hidden="false" customHeight="false" outlineLevel="0" collapsed="false">
      <c r="A19" s="2" t="n">
        <v>18</v>
      </c>
      <c r="B19" s="2" t="n">
        <v>1</v>
      </c>
      <c r="C19" s="2" t="s">
        <v>281</v>
      </c>
      <c r="D19" s="2" t="s">
        <v>30</v>
      </c>
      <c r="E19" s="2" t="s">
        <v>282</v>
      </c>
      <c r="F19" s="2" t="s">
        <v>283</v>
      </c>
      <c r="G19" s="2" t="s">
        <v>284</v>
      </c>
      <c r="H19" s="2" t="s">
        <v>51</v>
      </c>
      <c r="I19" s="2" t="s">
        <v>285</v>
      </c>
      <c r="J19" s="2" t="s">
        <v>286</v>
      </c>
      <c r="K19" s="2"/>
      <c r="L19" s="2" t="s">
        <v>37</v>
      </c>
      <c r="M19" s="2" t="s">
        <v>287</v>
      </c>
      <c r="N19" s="3" t="s">
        <v>39</v>
      </c>
      <c r="O19" s="4" t="n">
        <v>46317</v>
      </c>
      <c r="P19" s="5" t="n">
        <f aca="false">IF(O19="","",IF(Q19&lt;&gt;"","done",O19+6))</f>
        <v>46323</v>
      </c>
      <c r="Q19" s="4"/>
      <c r="R19" s="3"/>
      <c r="S19" s="3" t="s">
        <v>288</v>
      </c>
      <c r="T19" s="2" t="s">
        <v>289</v>
      </c>
      <c r="U19" s="6" t="s">
        <v>290</v>
      </c>
      <c r="V19" s="6" t="s">
        <v>291</v>
      </c>
      <c r="W19" s="2" t="s">
        <v>284</v>
      </c>
      <c r="X19" s="2"/>
      <c r="Y19" s="2" t="s">
        <v>292</v>
      </c>
      <c r="Z19" s="2" t="n">
        <v>95</v>
      </c>
      <c r="AA19" s="2" t="s">
        <v>293</v>
      </c>
      <c r="AB19" s="2" t="s">
        <v>63</v>
      </c>
      <c r="AC19" s="2" t="s">
        <v>294</v>
      </c>
    </row>
    <row r="20" customFormat="false" ht="35.05" hidden="false" customHeight="false" outlineLevel="0" collapsed="false">
      <c r="A20" s="2" t="n">
        <v>19</v>
      </c>
      <c r="B20" s="2" t="n">
        <v>1</v>
      </c>
      <c r="C20" s="2" t="s">
        <v>295</v>
      </c>
      <c r="D20" s="2" t="s">
        <v>129</v>
      </c>
      <c r="E20" s="2" t="s">
        <v>296</v>
      </c>
      <c r="F20" s="2" t="s">
        <v>297</v>
      </c>
      <c r="G20" s="2" t="s">
        <v>298</v>
      </c>
      <c r="H20" s="2" t="s">
        <v>51</v>
      </c>
      <c r="I20" s="2" t="s">
        <v>299</v>
      </c>
      <c r="J20" s="2" t="s">
        <v>300</v>
      </c>
      <c r="K20" s="2"/>
      <c r="L20" s="2" t="s">
        <v>149</v>
      </c>
      <c r="M20" s="2" t="s">
        <v>301</v>
      </c>
      <c r="N20" s="3" t="s">
        <v>39</v>
      </c>
      <c r="O20" s="4" t="n">
        <v>46317</v>
      </c>
      <c r="P20" s="5" t="n">
        <f aca="false">IF(O20="","",IF(Q20&lt;&gt;"","done",O20+6))</f>
        <v>46323</v>
      </c>
      <c r="Q20" s="4"/>
      <c r="R20" s="3"/>
      <c r="S20" s="3" t="s">
        <v>302</v>
      </c>
      <c r="T20" s="2" t="s">
        <v>303</v>
      </c>
      <c r="U20" s="6" t="s">
        <v>304</v>
      </c>
      <c r="V20" s="6" t="s">
        <v>305</v>
      </c>
      <c r="W20" s="2" t="s">
        <v>298</v>
      </c>
      <c r="X20" s="2"/>
      <c r="Y20" s="2" t="s">
        <v>306</v>
      </c>
      <c r="Z20" s="2" t="n">
        <v>95</v>
      </c>
      <c r="AA20" s="2" t="s">
        <v>307</v>
      </c>
      <c r="AB20" s="2" t="s">
        <v>63</v>
      </c>
      <c r="AC20" s="2" t="s">
        <v>308</v>
      </c>
    </row>
    <row r="21" customFormat="false" ht="35.05" hidden="false" customHeight="false" outlineLevel="0" collapsed="false">
      <c r="A21" s="2" t="n">
        <v>20</v>
      </c>
      <c r="B21" s="2" t="n">
        <v>1</v>
      </c>
      <c r="C21" s="2" t="s">
        <v>309</v>
      </c>
      <c r="D21" s="2" t="s">
        <v>129</v>
      </c>
      <c r="E21" s="2" t="s">
        <v>310</v>
      </c>
      <c r="F21" s="2" t="s">
        <v>311</v>
      </c>
      <c r="G21" s="2" t="s">
        <v>312</v>
      </c>
      <c r="H21" s="2" t="s">
        <v>117</v>
      </c>
      <c r="I21" s="2" t="s">
        <v>313</v>
      </c>
      <c r="J21" s="2" t="s">
        <v>314</v>
      </c>
      <c r="K21" s="2"/>
      <c r="L21" s="2" t="s">
        <v>315</v>
      </c>
      <c r="M21" s="2" t="s">
        <v>316</v>
      </c>
      <c r="N21" s="3" t="s">
        <v>39</v>
      </c>
      <c r="O21" s="4" t="n">
        <v>46317</v>
      </c>
      <c r="P21" s="5" t="n">
        <f aca="false">IF(O21="","",IF(Q21&lt;&gt;"","done",O21+6))</f>
        <v>46323</v>
      </c>
      <c r="Q21" s="4"/>
      <c r="R21" s="3"/>
      <c r="S21" s="3" t="s">
        <v>317</v>
      </c>
      <c r="T21" s="2" t="s">
        <v>318</v>
      </c>
      <c r="U21" s="6" t="s">
        <v>319</v>
      </c>
      <c r="V21" s="6" t="s">
        <v>320</v>
      </c>
      <c r="W21" s="2" t="s">
        <v>312</v>
      </c>
      <c r="X21" s="2"/>
      <c r="Y21" s="2" t="s">
        <v>321</v>
      </c>
      <c r="Z21" s="2" t="n">
        <v>70</v>
      </c>
      <c r="AA21" s="2" t="s">
        <v>322</v>
      </c>
      <c r="AB21" s="2" t="s">
        <v>46</v>
      </c>
      <c r="AC21" s="2" t="s">
        <v>323</v>
      </c>
    </row>
    <row r="22" customFormat="false" ht="35.05" hidden="false" customHeight="false" outlineLevel="0" collapsed="false">
      <c r="A22" s="2" t="n">
        <v>21</v>
      </c>
      <c r="B22" s="2" t="n">
        <v>2</v>
      </c>
      <c r="C22" s="2" t="s">
        <v>324</v>
      </c>
      <c r="D22" s="2" t="s">
        <v>30</v>
      </c>
      <c r="E22" s="2" t="s">
        <v>325</v>
      </c>
      <c r="F22" s="2" t="s">
        <v>82</v>
      </c>
      <c r="G22" s="2" t="s">
        <v>326</v>
      </c>
      <c r="H22" s="2" t="s">
        <v>327</v>
      </c>
      <c r="I22" s="2" t="s">
        <v>328</v>
      </c>
      <c r="J22" s="2" t="s">
        <v>329</v>
      </c>
      <c r="K22" s="2"/>
      <c r="L22" s="2"/>
      <c r="M22" s="2" t="s">
        <v>330</v>
      </c>
      <c r="N22" s="3" t="s">
        <v>331</v>
      </c>
      <c r="O22" s="4"/>
      <c r="P22" s="5" t="str">
        <f aca="false">IF(O22="","",IF(Q22&lt;&gt;"","done",O22+6))</f>
        <v/>
      </c>
      <c r="Q22" s="4"/>
      <c r="R22" s="3"/>
      <c r="S22" s="3" t="s">
        <v>332</v>
      </c>
      <c r="T22" s="2" t="s">
        <v>333</v>
      </c>
      <c r="U22" s="6" t="s">
        <v>334</v>
      </c>
      <c r="V22" s="6" t="s">
        <v>335</v>
      </c>
      <c r="W22" s="2" t="s">
        <v>326</v>
      </c>
      <c r="X22" s="2"/>
    </row>
    <row r="23" customFormat="false" ht="35.05" hidden="false" customHeight="false" outlineLevel="0" collapsed="false">
      <c r="A23" s="2" t="n">
        <v>22</v>
      </c>
      <c r="B23" s="2" t="n">
        <v>2</v>
      </c>
      <c r="C23" s="2" t="s">
        <v>336</v>
      </c>
      <c r="D23" s="2" t="s">
        <v>30</v>
      </c>
      <c r="E23" s="2" t="s">
        <v>337</v>
      </c>
      <c r="F23" s="2" t="s">
        <v>82</v>
      </c>
      <c r="G23" s="2" t="s">
        <v>338</v>
      </c>
      <c r="H23" s="2" t="s">
        <v>117</v>
      </c>
      <c r="I23" s="2" t="s">
        <v>339</v>
      </c>
      <c r="J23" s="2" t="s">
        <v>340</v>
      </c>
      <c r="K23" s="2"/>
      <c r="L23" s="2" t="s">
        <v>37</v>
      </c>
      <c r="M23" s="2" t="s">
        <v>341</v>
      </c>
      <c r="N23" s="3" t="s">
        <v>331</v>
      </c>
      <c r="O23" s="4"/>
      <c r="P23" s="5" t="str">
        <f aca="false">IF(O23="","",IF(Q23&lt;&gt;"","done",O23+6))</f>
        <v/>
      </c>
      <c r="Q23" s="4"/>
      <c r="R23" s="3"/>
      <c r="S23" s="3" t="s">
        <v>342</v>
      </c>
      <c r="T23" s="2" t="s">
        <v>343</v>
      </c>
      <c r="U23" s="6" t="s">
        <v>344</v>
      </c>
      <c r="V23" s="6" t="s">
        <v>345</v>
      </c>
      <c r="W23" s="2" t="s">
        <v>338</v>
      </c>
      <c r="X23" s="2"/>
    </row>
    <row r="24" customFormat="false" ht="35.05" hidden="false" customHeight="false" outlineLevel="0" collapsed="false">
      <c r="A24" s="2" t="n">
        <v>23</v>
      </c>
      <c r="B24" s="2" t="n">
        <v>2</v>
      </c>
      <c r="C24" s="2" t="s">
        <v>346</v>
      </c>
      <c r="D24" s="2" t="s">
        <v>129</v>
      </c>
      <c r="E24" s="2" t="s">
        <v>347</v>
      </c>
      <c r="F24" s="2" t="s">
        <v>131</v>
      </c>
      <c r="G24" s="2" t="s">
        <v>348</v>
      </c>
      <c r="H24" s="2" t="s">
        <v>349</v>
      </c>
      <c r="I24" s="2" t="s">
        <v>350</v>
      </c>
      <c r="J24" s="2" t="s">
        <v>351</v>
      </c>
      <c r="K24" s="2"/>
      <c r="L24" s="2" t="s">
        <v>37</v>
      </c>
      <c r="M24" s="2" t="s">
        <v>352</v>
      </c>
      <c r="N24" s="3" t="s">
        <v>331</v>
      </c>
      <c r="O24" s="4"/>
      <c r="P24" s="5" t="str">
        <f aca="false">IF(O24="","",IF(Q24&lt;&gt;"","done",O24+6))</f>
        <v/>
      </c>
      <c r="Q24" s="4"/>
      <c r="R24" s="3"/>
      <c r="S24" s="3" t="s">
        <v>353</v>
      </c>
      <c r="T24" s="2" t="s">
        <v>354</v>
      </c>
      <c r="U24" s="6" t="s">
        <v>355</v>
      </c>
      <c r="V24" s="6" t="s">
        <v>356</v>
      </c>
      <c r="W24" s="2" t="s">
        <v>348</v>
      </c>
      <c r="X24" s="2"/>
    </row>
    <row r="25" customFormat="false" ht="35.05" hidden="false" customHeight="false" outlineLevel="0" collapsed="false">
      <c r="A25" s="2" t="n">
        <v>24</v>
      </c>
      <c r="B25" s="2" t="n">
        <v>2</v>
      </c>
      <c r="C25" s="2" t="s">
        <v>357</v>
      </c>
      <c r="D25" s="2" t="s">
        <v>30</v>
      </c>
      <c r="E25" s="2" t="s">
        <v>358</v>
      </c>
      <c r="F25" s="2" t="s">
        <v>82</v>
      </c>
      <c r="G25" s="2" t="s">
        <v>359</v>
      </c>
      <c r="H25" s="2" t="s">
        <v>117</v>
      </c>
      <c r="I25" s="2" t="s">
        <v>360</v>
      </c>
      <c r="J25" s="2" t="s">
        <v>361</v>
      </c>
      <c r="K25" s="2"/>
      <c r="L25" s="2" t="s">
        <v>37</v>
      </c>
      <c r="M25" s="2" t="s">
        <v>362</v>
      </c>
      <c r="N25" s="3" t="s">
        <v>331</v>
      </c>
      <c r="O25" s="4"/>
      <c r="P25" s="5" t="str">
        <f aca="false">IF(O25="","",IF(Q25&lt;&gt;"","done",O25+6))</f>
        <v/>
      </c>
      <c r="Q25" s="4"/>
      <c r="R25" s="3"/>
      <c r="S25" s="3" t="s">
        <v>363</v>
      </c>
      <c r="T25" s="2" t="s">
        <v>364</v>
      </c>
      <c r="U25" s="6" t="s">
        <v>365</v>
      </c>
      <c r="V25" s="6" t="s">
        <v>366</v>
      </c>
      <c r="W25" s="2" t="s">
        <v>359</v>
      </c>
      <c r="X25" s="2"/>
    </row>
    <row r="26" customFormat="false" ht="23.85" hidden="false" customHeight="false" outlineLevel="0" collapsed="false">
      <c r="A26" s="2" t="n">
        <v>25</v>
      </c>
      <c r="B26" s="2" t="n">
        <v>2</v>
      </c>
      <c r="C26" s="2" t="s">
        <v>367</v>
      </c>
      <c r="D26" s="2" t="s">
        <v>129</v>
      </c>
      <c r="E26" s="2" t="s">
        <v>368</v>
      </c>
      <c r="F26" s="2" t="s">
        <v>131</v>
      </c>
      <c r="G26" s="2" t="s">
        <v>369</v>
      </c>
      <c r="H26" s="2" t="s">
        <v>117</v>
      </c>
      <c r="I26" s="2" t="s">
        <v>370</v>
      </c>
      <c r="J26" s="2" t="s">
        <v>371</v>
      </c>
      <c r="K26" s="2"/>
      <c r="L26" s="2" t="s">
        <v>37</v>
      </c>
      <c r="M26" s="2" t="s">
        <v>372</v>
      </c>
      <c r="N26" s="3" t="s">
        <v>331</v>
      </c>
      <c r="O26" s="4"/>
      <c r="P26" s="5" t="str">
        <f aca="false">IF(O26="","",IF(Q26&lt;&gt;"","done",O26+6))</f>
        <v/>
      </c>
      <c r="Q26" s="4"/>
      <c r="R26" s="3"/>
      <c r="S26" s="3" t="s">
        <v>373</v>
      </c>
      <c r="T26" s="2" t="s">
        <v>374</v>
      </c>
      <c r="U26" s="6" t="s">
        <v>375</v>
      </c>
      <c r="V26" s="6" t="s">
        <v>376</v>
      </c>
      <c r="W26" s="2" t="s">
        <v>369</v>
      </c>
      <c r="X26" s="2"/>
    </row>
    <row r="27" customFormat="false" ht="46.25" hidden="false" customHeight="false" outlineLevel="0" collapsed="false">
      <c r="A27" s="2" t="n">
        <v>26</v>
      </c>
      <c r="B27" s="2" t="n">
        <v>2</v>
      </c>
      <c r="C27" s="2" t="s">
        <v>377</v>
      </c>
      <c r="D27" s="2" t="s">
        <v>30</v>
      </c>
      <c r="E27" s="2" t="s">
        <v>378</v>
      </c>
      <c r="F27" s="2" t="s">
        <v>115</v>
      </c>
      <c r="G27" s="2" t="s">
        <v>379</v>
      </c>
      <c r="H27" s="2" t="s">
        <v>380</v>
      </c>
      <c r="I27" s="2" t="s">
        <v>381</v>
      </c>
      <c r="J27" s="2" t="s">
        <v>382</v>
      </c>
      <c r="K27" s="2"/>
      <c r="L27" s="2" t="s">
        <v>37</v>
      </c>
      <c r="M27" s="2" t="s">
        <v>383</v>
      </c>
      <c r="N27" s="3" t="s">
        <v>331</v>
      </c>
      <c r="O27" s="4"/>
      <c r="P27" s="5" t="str">
        <f aca="false">IF(O27="","",IF(Q27&lt;&gt;"","done",O27+6))</f>
        <v/>
      </c>
      <c r="Q27" s="4"/>
      <c r="R27" s="3"/>
      <c r="S27" s="3" t="s">
        <v>384</v>
      </c>
      <c r="T27" s="2" t="s">
        <v>385</v>
      </c>
      <c r="U27" s="6" t="s">
        <v>386</v>
      </c>
      <c r="V27" s="6" t="s">
        <v>387</v>
      </c>
      <c r="W27" s="2" t="s">
        <v>379</v>
      </c>
      <c r="X27" s="2"/>
    </row>
    <row r="28" customFormat="false" ht="35.05" hidden="false" customHeight="false" outlineLevel="0" collapsed="false">
      <c r="A28" s="2" t="n">
        <v>27</v>
      </c>
      <c r="B28" s="2" t="n">
        <v>2</v>
      </c>
      <c r="C28" s="2" t="s">
        <v>388</v>
      </c>
      <c r="D28" s="2" t="s">
        <v>30</v>
      </c>
      <c r="E28" s="2" t="s">
        <v>389</v>
      </c>
      <c r="F28" s="2" t="s">
        <v>131</v>
      </c>
      <c r="G28" s="2" t="s">
        <v>390</v>
      </c>
      <c r="H28" s="2" t="s">
        <v>327</v>
      </c>
      <c r="I28" s="2" t="s">
        <v>391</v>
      </c>
      <c r="J28" s="2" t="s">
        <v>392</v>
      </c>
      <c r="K28" s="2"/>
      <c r="L28" s="2"/>
      <c r="M28" s="2" t="s">
        <v>330</v>
      </c>
      <c r="N28" s="3" t="s">
        <v>331</v>
      </c>
      <c r="O28" s="4"/>
      <c r="P28" s="5" t="str">
        <f aca="false">IF(O28="","",IF(Q28&lt;&gt;"","done",O28+6))</f>
        <v/>
      </c>
      <c r="Q28" s="4"/>
      <c r="R28" s="3"/>
      <c r="S28" s="3" t="s">
        <v>393</v>
      </c>
      <c r="T28" s="2" t="s">
        <v>394</v>
      </c>
      <c r="U28" s="6" t="s">
        <v>395</v>
      </c>
      <c r="V28" s="6" t="s">
        <v>396</v>
      </c>
      <c r="W28" s="2" t="s">
        <v>390</v>
      </c>
      <c r="X28" s="2"/>
    </row>
    <row r="29" customFormat="false" ht="35.05" hidden="false" customHeight="false" outlineLevel="0" collapsed="false">
      <c r="A29" s="2" t="n">
        <v>28</v>
      </c>
      <c r="B29" s="2" t="n">
        <v>2</v>
      </c>
      <c r="C29" s="2" t="s">
        <v>397</v>
      </c>
      <c r="D29" s="2" t="s">
        <v>129</v>
      </c>
      <c r="E29" s="2" t="s">
        <v>398</v>
      </c>
      <c r="F29" s="2" t="s">
        <v>131</v>
      </c>
      <c r="G29" s="2" t="s">
        <v>399</v>
      </c>
      <c r="H29" s="2" t="s">
        <v>117</v>
      </c>
      <c r="I29" s="2" t="s">
        <v>400</v>
      </c>
      <c r="J29" s="2" t="s">
        <v>401</v>
      </c>
      <c r="K29" s="2"/>
      <c r="L29" s="2" t="s">
        <v>37</v>
      </c>
      <c r="M29" s="2" t="s">
        <v>402</v>
      </c>
      <c r="N29" s="3" t="s">
        <v>331</v>
      </c>
      <c r="O29" s="4"/>
      <c r="P29" s="5" t="str">
        <f aca="false">IF(O29="","",IF(Q29&lt;&gt;"","done",O29+6))</f>
        <v/>
      </c>
      <c r="Q29" s="4"/>
      <c r="R29" s="3"/>
      <c r="S29" s="3" t="s">
        <v>403</v>
      </c>
      <c r="T29" s="2" t="s">
        <v>404</v>
      </c>
      <c r="U29" s="6" t="s">
        <v>405</v>
      </c>
      <c r="V29" s="6" t="s">
        <v>406</v>
      </c>
      <c r="W29" s="2" t="s">
        <v>399</v>
      </c>
      <c r="X29" s="2"/>
    </row>
    <row r="30" customFormat="false" ht="35.05" hidden="false" customHeight="false" outlineLevel="0" collapsed="false">
      <c r="A30" s="2" t="n">
        <v>29</v>
      </c>
      <c r="B30" s="2" t="n">
        <v>2</v>
      </c>
      <c r="C30" s="2" t="s">
        <v>407</v>
      </c>
      <c r="D30" s="2" t="s">
        <v>30</v>
      </c>
      <c r="E30" s="2" t="s">
        <v>408</v>
      </c>
      <c r="F30" s="2" t="s">
        <v>131</v>
      </c>
      <c r="G30" s="2" t="s">
        <v>409</v>
      </c>
      <c r="H30" s="2" t="s">
        <v>327</v>
      </c>
      <c r="I30" s="2" t="s">
        <v>410</v>
      </c>
      <c r="J30" s="2" t="s">
        <v>411</v>
      </c>
      <c r="K30" s="2"/>
      <c r="L30" s="2"/>
      <c r="M30" s="2" t="s">
        <v>330</v>
      </c>
      <c r="N30" s="3" t="s">
        <v>331</v>
      </c>
      <c r="O30" s="4"/>
      <c r="P30" s="5" t="str">
        <f aca="false">IF(O30="","",IF(Q30&lt;&gt;"","done",O30+6))</f>
        <v/>
      </c>
      <c r="Q30" s="4"/>
      <c r="R30" s="3"/>
      <c r="S30" s="3" t="s">
        <v>412</v>
      </c>
      <c r="T30" s="2" t="s">
        <v>413</v>
      </c>
      <c r="U30" s="6" t="s">
        <v>414</v>
      </c>
      <c r="V30" s="6" t="s">
        <v>415</v>
      </c>
      <c r="W30" s="2" t="s">
        <v>409</v>
      </c>
      <c r="X30" s="2" t="s">
        <v>416</v>
      </c>
    </row>
    <row r="31" customFormat="false" ht="46.25" hidden="false" customHeight="false" outlineLevel="0" collapsed="false">
      <c r="A31" s="2" t="n">
        <v>30</v>
      </c>
      <c r="B31" s="2" t="n">
        <v>2</v>
      </c>
      <c r="C31" s="2" t="s">
        <v>417</v>
      </c>
      <c r="D31" s="2" t="s">
        <v>66</v>
      </c>
      <c r="E31" s="2" t="s">
        <v>418</v>
      </c>
      <c r="F31" s="2" t="s">
        <v>32</v>
      </c>
      <c r="G31" s="2" t="s">
        <v>419</v>
      </c>
      <c r="H31" s="2" t="s">
        <v>420</v>
      </c>
      <c r="I31" s="2" t="s">
        <v>421</v>
      </c>
      <c r="J31" s="2" t="s">
        <v>422</v>
      </c>
      <c r="K31" s="2" t="s">
        <v>423</v>
      </c>
      <c r="L31" s="2" t="s">
        <v>37</v>
      </c>
      <c r="M31" s="2" t="s">
        <v>424</v>
      </c>
      <c r="N31" s="3" t="s">
        <v>331</v>
      </c>
      <c r="O31" s="4"/>
      <c r="P31" s="5" t="str">
        <f aca="false">IF(O31="","",IF(Q31&lt;&gt;"","done",O31+6))</f>
        <v/>
      </c>
      <c r="Q31" s="4"/>
      <c r="R31" s="3"/>
      <c r="S31" s="3" t="s">
        <v>425</v>
      </c>
      <c r="T31" s="2" t="s">
        <v>426</v>
      </c>
      <c r="U31" s="6" t="s">
        <v>427</v>
      </c>
      <c r="V31" s="6" t="s">
        <v>428</v>
      </c>
      <c r="W31" s="2" t="s">
        <v>419</v>
      </c>
      <c r="X31" s="2" t="s">
        <v>429</v>
      </c>
    </row>
    <row r="32" customFormat="false" ht="35.05" hidden="false" customHeight="false" outlineLevel="0" collapsed="false">
      <c r="A32" s="2" t="n">
        <v>31</v>
      </c>
      <c r="B32" s="2" t="n">
        <v>2</v>
      </c>
      <c r="C32" s="2" t="s">
        <v>430</v>
      </c>
      <c r="D32" s="2" t="s">
        <v>129</v>
      </c>
      <c r="E32" s="2" t="s">
        <v>431</v>
      </c>
      <c r="F32" s="2" t="s">
        <v>131</v>
      </c>
      <c r="G32" s="2" t="s">
        <v>432</v>
      </c>
      <c r="H32" s="2" t="s">
        <v>117</v>
      </c>
      <c r="I32" s="2" t="s">
        <v>433</v>
      </c>
      <c r="J32" s="2" t="s">
        <v>434</v>
      </c>
      <c r="K32" s="2"/>
      <c r="L32" s="2" t="s">
        <v>37</v>
      </c>
      <c r="M32" s="2" t="s">
        <v>435</v>
      </c>
      <c r="N32" s="3" t="s">
        <v>331</v>
      </c>
      <c r="O32" s="4"/>
      <c r="P32" s="5" t="str">
        <f aca="false">IF(O32="","",IF(Q32&lt;&gt;"","done",O32+6))</f>
        <v/>
      </c>
      <c r="Q32" s="4"/>
      <c r="R32" s="3"/>
      <c r="S32" s="3" t="s">
        <v>436</v>
      </c>
      <c r="T32" s="2" t="s">
        <v>437</v>
      </c>
      <c r="U32" s="6" t="s">
        <v>438</v>
      </c>
      <c r="V32" s="6" t="s">
        <v>439</v>
      </c>
      <c r="W32" s="2" t="s">
        <v>432</v>
      </c>
      <c r="X32" s="2"/>
    </row>
    <row r="33" customFormat="false" ht="46.25" hidden="false" customHeight="false" outlineLevel="0" collapsed="false">
      <c r="A33" s="2" t="n">
        <v>32</v>
      </c>
      <c r="B33" s="2" t="n">
        <v>2</v>
      </c>
      <c r="C33" s="2" t="s">
        <v>440</v>
      </c>
      <c r="D33" s="2" t="s">
        <v>66</v>
      </c>
      <c r="E33" s="2" t="s">
        <v>441</v>
      </c>
      <c r="F33" s="2" t="s">
        <v>32</v>
      </c>
      <c r="G33" s="2" t="s">
        <v>442</v>
      </c>
      <c r="H33" s="2" t="s">
        <v>117</v>
      </c>
      <c r="I33" s="2" t="s">
        <v>443</v>
      </c>
      <c r="J33" s="2" t="s">
        <v>444</v>
      </c>
      <c r="K33" s="2" t="s">
        <v>445</v>
      </c>
      <c r="L33" s="2" t="s">
        <v>37</v>
      </c>
      <c r="M33" s="2" t="s">
        <v>446</v>
      </c>
      <c r="N33" s="3" t="s">
        <v>331</v>
      </c>
      <c r="O33" s="4"/>
      <c r="P33" s="5" t="str">
        <f aca="false">IF(O33="","",IF(Q33&lt;&gt;"","done",O33+6))</f>
        <v/>
      </c>
      <c r="Q33" s="4"/>
      <c r="R33" s="3"/>
      <c r="S33" s="3" t="s">
        <v>447</v>
      </c>
      <c r="T33" s="2" t="s">
        <v>448</v>
      </c>
      <c r="U33" s="6" t="s">
        <v>449</v>
      </c>
      <c r="V33" s="6" t="s">
        <v>450</v>
      </c>
      <c r="W33" s="2" t="s">
        <v>442</v>
      </c>
      <c r="X33" s="2"/>
    </row>
    <row r="34" customFormat="false" ht="35.05" hidden="false" customHeight="false" outlineLevel="0" collapsed="false">
      <c r="A34" s="2" t="n">
        <v>33</v>
      </c>
      <c r="B34" s="2" t="n">
        <v>2</v>
      </c>
      <c r="C34" s="2" t="s">
        <v>451</v>
      </c>
      <c r="D34" s="2" t="s">
        <v>129</v>
      </c>
      <c r="E34" s="2" t="s">
        <v>452</v>
      </c>
      <c r="F34" s="2" t="s">
        <v>32</v>
      </c>
      <c r="G34" s="2" t="s">
        <v>453</v>
      </c>
      <c r="H34" s="2" t="s">
        <v>327</v>
      </c>
      <c r="I34" s="2" t="s">
        <v>454</v>
      </c>
      <c r="J34" s="2" t="s">
        <v>455</v>
      </c>
      <c r="K34" s="2"/>
      <c r="L34" s="2"/>
      <c r="M34" s="2" t="s">
        <v>330</v>
      </c>
      <c r="N34" s="3" t="s">
        <v>331</v>
      </c>
      <c r="O34" s="4"/>
      <c r="P34" s="5" t="str">
        <f aca="false">IF(O34="","",IF(Q34&lt;&gt;"","done",O34+6))</f>
        <v/>
      </c>
      <c r="Q34" s="4"/>
      <c r="R34" s="3"/>
      <c r="S34" s="3" t="s">
        <v>456</v>
      </c>
      <c r="T34" s="2" t="s">
        <v>457</v>
      </c>
      <c r="U34" s="6" t="s">
        <v>458</v>
      </c>
      <c r="V34" s="6" t="s">
        <v>459</v>
      </c>
      <c r="W34" s="2" t="s">
        <v>453</v>
      </c>
      <c r="X34" s="2"/>
    </row>
    <row r="35" customFormat="false" ht="35.05" hidden="false" customHeight="false" outlineLevel="0" collapsed="false">
      <c r="A35" s="2" t="n">
        <v>34</v>
      </c>
      <c r="B35" s="2" t="n">
        <v>2</v>
      </c>
      <c r="C35" s="2" t="s">
        <v>460</v>
      </c>
      <c r="D35" s="2" t="s">
        <v>30</v>
      </c>
      <c r="E35" s="2" t="s">
        <v>461</v>
      </c>
      <c r="F35" s="2" t="s">
        <v>131</v>
      </c>
      <c r="G35" s="2" t="s">
        <v>462</v>
      </c>
      <c r="H35" s="2" t="s">
        <v>327</v>
      </c>
      <c r="I35" s="2" t="s">
        <v>463</v>
      </c>
      <c r="J35" s="2" t="s">
        <v>464</v>
      </c>
      <c r="K35" s="2"/>
      <c r="L35" s="2"/>
      <c r="M35" s="2" t="s">
        <v>330</v>
      </c>
      <c r="N35" s="3" t="s">
        <v>331</v>
      </c>
      <c r="O35" s="4"/>
      <c r="P35" s="5" t="str">
        <f aca="false">IF(O35="","",IF(Q35&lt;&gt;"","done",O35+6))</f>
        <v/>
      </c>
      <c r="Q35" s="4"/>
      <c r="R35" s="3"/>
      <c r="S35" s="3" t="s">
        <v>465</v>
      </c>
      <c r="T35" s="2" t="s">
        <v>466</v>
      </c>
      <c r="U35" s="6" t="s">
        <v>467</v>
      </c>
      <c r="V35" s="6" t="s">
        <v>468</v>
      </c>
      <c r="W35" s="2" t="s">
        <v>462</v>
      </c>
      <c r="X35" s="2"/>
    </row>
    <row r="36" customFormat="false" ht="68.65" hidden="false" customHeight="false" outlineLevel="0" collapsed="false">
      <c r="A36" s="2" t="n">
        <v>35</v>
      </c>
      <c r="B36" s="2" t="n">
        <v>2</v>
      </c>
      <c r="C36" s="2" t="s">
        <v>469</v>
      </c>
      <c r="D36" s="2" t="s">
        <v>30</v>
      </c>
      <c r="E36" s="2" t="s">
        <v>470</v>
      </c>
      <c r="F36" s="2" t="s">
        <v>131</v>
      </c>
      <c r="G36" s="2" t="s">
        <v>471</v>
      </c>
      <c r="H36" s="2" t="s">
        <v>472</v>
      </c>
      <c r="I36" s="2" t="s">
        <v>473</v>
      </c>
      <c r="J36" s="2" t="s">
        <v>474</v>
      </c>
      <c r="K36" s="2"/>
      <c r="L36" s="2"/>
      <c r="M36" s="2" t="s">
        <v>330</v>
      </c>
      <c r="N36" s="3" t="s">
        <v>331</v>
      </c>
      <c r="O36" s="4"/>
      <c r="P36" s="5" t="str">
        <f aca="false">IF(O36="","",IF(Q36&lt;&gt;"","done",O36+6))</f>
        <v/>
      </c>
      <c r="Q36" s="4"/>
      <c r="R36" s="3"/>
      <c r="S36" s="3" t="s">
        <v>475</v>
      </c>
      <c r="T36" s="2" t="s">
        <v>476</v>
      </c>
      <c r="U36" s="6" t="s">
        <v>477</v>
      </c>
      <c r="V36" s="6" t="s">
        <v>478</v>
      </c>
      <c r="W36" s="2" t="s">
        <v>471</v>
      </c>
      <c r="X36" s="2"/>
    </row>
    <row r="37" customFormat="false" ht="35.05" hidden="false" customHeight="false" outlineLevel="0" collapsed="false">
      <c r="A37" s="2" t="n">
        <v>36</v>
      </c>
      <c r="B37" s="2" t="n">
        <v>2</v>
      </c>
      <c r="C37" s="2" t="s">
        <v>479</v>
      </c>
      <c r="D37" s="2" t="s">
        <v>129</v>
      </c>
      <c r="E37" s="2" t="s">
        <v>480</v>
      </c>
      <c r="F37" s="2" t="s">
        <v>131</v>
      </c>
      <c r="G37" s="2" t="s">
        <v>481</v>
      </c>
      <c r="H37" s="2" t="s">
        <v>327</v>
      </c>
      <c r="I37" s="2" t="s">
        <v>482</v>
      </c>
      <c r="J37" s="2" t="s">
        <v>483</v>
      </c>
      <c r="K37" s="2"/>
      <c r="L37" s="2"/>
      <c r="M37" s="2" t="s">
        <v>330</v>
      </c>
      <c r="N37" s="3" t="s">
        <v>331</v>
      </c>
      <c r="O37" s="4"/>
      <c r="P37" s="5" t="str">
        <f aca="false">IF(O37="","",IF(Q37&lt;&gt;"","done",O37+6))</f>
        <v/>
      </c>
      <c r="Q37" s="4"/>
      <c r="R37" s="3"/>
      <c r="S37" s="3" t="s">
        <v>484</v>
      </c>
      <c r="T37" s="2" t="s">
        <v>485</v>
      </c>
      <c r="U37" s="6" t="s">
        <v>486</v>
      </c>
      <c r="V37" s="6" t="s">
        <v>487</v>
      </c>
      <c r="W37" s="2" t="s">
        <v>481</v>
      </c>
      <c r="X37" s="2"/>
    </row>
    <row r="38" customFormat="false" ht="35.05" hidden="false" customHeight="false" outlineLevel="0" collapsed="false">
      <c r="A38" s="2" t="n">
        <v>37</v>
      </c>
      <c r="B38" s="2" t="n">
        <v>2</v>
      </c>
      <c r="C38" s="2" t="s">
        <v>488</v>
      </c>
      <c r="D38" s="2" t="s">
        <v>30</v>
      </c>
      <c r="E38" s="2" t="s">
        <v>489</v>
      </c>
      <c r="F38" s="2" t="s">
        <v>131</v>
      </c>
      <c r="G38" s="2" t="s">
        <v>490</v>
      </c>
      <c r="H38" s="2" t="s">
        <v>117</v>
      </c>
      <c r="I38" s="2" t="s">
        <v>491</v>
      </c>
      <c r="J38" s="2" t="s">
        <v>492</v>
      </c>
      <c r="K38" s="2"/>
      <c r="L38" s="2" t="s">
        <v>37</v>
      </c>
      <c r="M38" s="2" t="s">
        <v>493</v>
      </c>
      <c r="N38" s="3" t="s">
        <v>331</v>
      </c>
      <c r="O38" s="4"/>
      <c r="P38" s="5" t="str">
        <f aca="false">IF(O38="","",IF(Q38&lt;&gt;"","done",O38+6))</f>
        <v/>
      </c>
      <c r="Q38" s="4"/>
      <c r="R38" s="3"/>
      <c r="S38" s="3" t="s">
        <v>494</v>
      </c>
      <c r="T38" s="2" t="s">
        <v>495</v>
      </c>
      <c r="U38" s="6" t="s">
        <v>496</v>
      </c>
      <c r="V38" s="6" t="s">
        <v>497</v>
      </c>
      <c r="W38" s="2" t="s">
        <v>490</v>
      </c>
      <c r="X38" s="2"/>
    </row>
    <row r="39" customFormat="false" ht="35.05" hidden="false" customHeight="false" outlineLevel="0" collapsed="false">
      <c r="A39" s="2" t="n">
        <v>38</v>
      </c>
      <c r="B39" s="2" t="n">
        <v>2</v>
      </c>
      <c r="C39" s="2" t="s">
        <v>498</v>
      </c>
      <c r="D39" s="2" t="s">
        <v>129</v>
      </c>
      <c r="E39" s="2" t="s">
        <v>499</v>
      </c>
      <c r="F39" s="2" t="s">
        <v>32</v>
      </c>
      <c r="G39" s="2" t="s">
        <v>500</v>
      </c>
      <c r="H39" s="2" t="s">
        <v>117</v>
      </c>
      <c r="I39" s="2" t="s">
        <v>501</v>
      </c>
      <c r="J39" s="2" t="s">
        <v>502</v>
      </c>
      <c r="K39" s="2"/>
      <c r="L39" s="2" t="s">
        <v>37</v>
      </c>
      <c r="M39" s="2" t="s">
        <v>503</v>
      </c>
      <c r="N39" s="3" t="s">
        <v>331</v>
      </c>
      <c r="O39" s="4"/>
      <c r="P39" s="5" t="str">
        <f aca="false">IF(O39="","",IF(Q39&lt;&gt;"","done",O39+6))</f>
        <v/>
      </c>
      <c r="Q39" s="4"/>
      <c r="R39" s="3"/>
      <c r="S39" s="3" t="s">
        <v>504</v>
      </c>
      <c r="T39" s="2" t="s">
        <v>505</v>
      </c>
      <c r="U39" s="6" t="s">
        <v>506</v>
      </c>
      <c r="V39" s="6" t="s">
        <v>507</v>
      </c>
      <c r="W39" s="2" t="s">
        <v>500</v>
      </c>
      <c r="X39" s="2"/>
    </row>
    <row r="40" customFormat="false" ht="46.25" hidden="false" customHeight="false" outlineLevel="0" collapsed="false">
      <c r="A40" s="2" t="n">
        <v>39</v>
      </c>
      <c r="B40" s="2" t="n">
        <v>2</v>
      </c>
      <c r="C40" s="2" t="s">
        <v>508</v>
      </c>
      <c r="D40" s="2" t="s">
        <v>30</v>
      </c>
      <c r="E40" s="2" t="s">
        <v>509</v>
      </c>
      <c r="F40" s="2" t="s">
        <v>297</v>
      </c>
      <c r="G40" s="2" t="s">
        <v>510</v>
      </c>
      <c r="H40" s="2" t="s">
        <v>511</v>
      </c>
      <c r="I40" s="2" t="s">
        <v>512</v>
      </c>
      <c r="J40" s="2" t="s">
        <v>513</v>
      </c>
      <c r="K40" s="2"/>
      <c r="L40" s="2" t="s">
        <v>315</v>
      </c>
      <c r="M40" s="2" t="s">
        <v>514</v>
      </c>
      <c r="N40" s="3" t="s">
        <v>331</v>
      </c>
      <c r="O40" s="4"/>
      <c r="P40" s="5" t="str">
        <f aca="false">IF(O40="","",IF(Q40&lt;&gt;"","done",O40+6))</f>
        <v/>
      </c>
      <c r="Q40" s="4"/>
      <c r="R40" s="3"/>
      <c r="S40" s="3" t="s">
        <v>515</v>
      </c>
      <c r="T40" s="2" t="s">
        <v>516</v>
      </c>
      <c r="U40" s="6" t="s">
        <v>517</v>
      </c>
      <c r="V40" s="6" t="s">
        <v>518</v>
      </c>
      <c r="W40" s="2" t="s">
        <v>510</v>
      </c>
      <c r="X40" s="2" t="s">
        <v>519</v>
      </c>
    </row>
    <row r="41" customFormat="false" ht="35.05" hidden="false" customHeight="false" outlineLevel="0" collapsed="false">
      <c r="A41" s="2" t="n">
        <v>40</v>
      </c>
      <c r="B41" s="2" t="n">
        <v>2</v>
      </c>
      <c r="C41" s="2" t="s">
        <v>520</v>
      </c>
      <c r="D41" s="2" t="s">
        <v>129</v>
      </c>
      <c r="E41" s="2" t="s">
        <v>521</v>
      </c>
      <c r="F41" s="2" t="s">
        <v>115</v>
      </c>
      <c r="G41" s="2" t="s">
        <v>522</v>
      </c>
      <c r="H41" s="2" t="s">
        <v>327</v>
      </c>
      <c r="I41" s="2" t="s">
        <v>523</v>
      </c>
      <c r="J41" s="2" t="s">
        <v>524</v>
      </c>
      <c r="K41" s="2"/>
      <c r="L41" s="2"/>
      <c r="M41" s="2" t="s">
        <v>330</v>
      </c>
      <c r="N41" s="3" t="s">
        <v>331</v>
      </c>
      <c r="O41" s="4"/>
      <c r="P41" s="5" t="str">
        <f aca="false">IF(O41="","",IF(Q41&lt;&gt;"","done",O41+6))</f>
        <v/>
      </c>
      <c r="Q41" s="4"/>
      <c r="R41" s="3"/>
      <c r="S41" s="3" t="s">
        <v>525</v>
      </c>
      <c r="T41" s="2" t="s">
        <v>526</v>
      </c>
      <c r="U41" s="6" t="s">
        <v>527</v>
      </c>
      <c r="V41" s="6" t="s">
        <v>528</v>
      </c>
      <c r="W41" s="2" t="s">
        <v>522</v>
      </c>
      <c r="X41" s="2"/>
    </row>
  </sheetData>
  <autoFilter ref="A1:AC41"/>
  <dataValidations count="1">
    <dataValidation allowBlank="true" errorStyle="stop" operator="between" showDropDown="false" showErrorMessage="false" showInputMessage="false" sqref="N2:N41" type="list">
      <formula1>"Waiting on build,Ready to review,Verified,Sent,Followed up,Replied,Call scheduled,No reply,Skip"</formula1>
      <formula2>0</formula2>
    </dataValidation>
  </dataValidations>
  <hyperlinks>
    <hyperlink ref="U2" r:id="rId1" display="https://theseus.us"/>
    <hyperlink ref="V2" r:id="rId2" display="https://www.ycombinator.com/companies/theseus"/>
    <hyperlink ref="U3" r:id="rId3" display="https://www.polymathrobotics.com"/>
    <hyperlink ref="V3" r:id="rId4" display="https://www.ycombinator.com/companies/polymath-robotics"/>
    <hyperlink ref="U4" r:id="rId5" display="https://innate.bot"/>
    <hyperlink ref="V4" r:id="rId6" display="https://www.ycombinator.com/companies/innate"/>
    <hyperlink ref="U5" r:id="rId7" display="https://almond.bot"/>
    <hyperlink ref="V5" r:id="rId8" display="https://www.ycombinator.com/companies/almond"/>
    <hyperlink ref="U6" r:id="rId9" display="https://morpho.ai"/>
    <hyperlink ref="V6" r:id="rId10" display="https://www.ycombinator.com/companies/morphoai"/>
    <hyperlink ref="U7" r:id="rId11" display="https://os3robotics.com"/>
    <hyperlink ref="V7" r:id="rId12" display="https://www.ycombinator.com/companies/os3"/>
    <hyperlink ref="U8" r:id="rId13" display="https://darwinrobotics.ai"/>
    <hyperlink ref="V8" r:id="rId14" display="https://www.ycombinator.com/companies/darwin"/>
    <hyperlink ref="U9" r:id="rId15" display="https://lightberry.com"/>
    <hyperlink ref="V9" r:id="rId16" display="https://www.ycombinator.com/companies/lightberry"/>
    <hyperlink ref="U10" r:id="rId17" display="https://bucket.bot"/>
    <hyperlink ref="V10" r:id="rId18" display="https://www.ycombinator.com/companies/bucket-robotics"/>
    <hyperlink ref="U11" r:id="rId19" display="https://saphira.ai"/>
    <hyperlink ref="V11" r:id="rId20" display="https://www.ycombinator.com/companies/saphira-ai"/>
    <hyperlink ref="U12" r:id="rId21" display="https://yondu.ai"/>
    <hyperlink ref="V12" r:id="rId22" display="https://www.ycombinator.com/companies/yondu"/>
    <hyperlink ref="U13" r:id="rId23" display="https://ultra.tech"/>
    <hyperlink ref="V13" r:id="rId24" display="https://www.ycombinator.com/companies/ultra"/>
    <hyperlink ref="U14" r:id="rId25" display="https://proception.ai"/>
    <hyperlink ref="V14" r:id="rId26" display="https://www.ycombinator.com/companies/proception"/>
    <hyperlink ref="U15" r:id="rId27" display="https://www.mbodi.ai"/>
    <hyperlink ref="V15" r:id="rId28" display="https://www.ycombinator.com/companies/mbodi-ai"/>
    <hyperlink ref="U16" r:id="rId29" display="https://www.orangewood.co"/>
    <hyperlink ref="V16" r:id="rId30" display="https://www.ycombinator.com/companies/orangewood-labs"/>
    <hyperlink ref="U17" r:id="rId31" display="https://www.reviserobotics.com"/>
    <hyperlink ref="V17" r:id="rId32" display="https://www.ycombinator.com/companies/revise-robotics"/>
    <hyperlink ref="U18" r:id="rId33" display="https://aktoria.com"/>
    <hyperlink ref="V18" r:id="rId34" display="https://www.ycombinator.com/companies/aktoria-robotics"/>
    <hyperlink ref="U19" r:id="rId35" display="https://www.starcloud.com"/>
    <hyperlink ref="V19" r:id="rId36" display="https://www.ycombinator.com/companies/starcloud"/>
    <hyperlink ref="U20" r:id="rId37" display="https://www.featherhq.com"/>
    <hyperlink ref="V20" r:id="rId38" display="https://www.ycombinator.com/companies/feather"/>
    <hyperlink ref="U21" r:id="rId39" display="https://silurian.ai"/>
    <hyperlink ref="V21" r:id="rId40" display="https://www.ycombinator.com/companies/silurian"/>
    <hyperlink ref="U22" r:id="rId41" display="https://www.cerulion.com"/>
    <hyperlink ref="V22" r:id="rId42" display="https://www.ycombinator.com/companies/cerulion"/>
    <hyperlink ref="U23" r:id="rId43" display="https://vernerobotics.com"/>
    <hyperlink ref="V23" r:id="rId44" display="https://www.ycombinator.com/companies/verne-robotics"/>
    <hyperlink ref="U24" r:id="rId45" display="https://pivotrobotics.com"/>
    <hyperlink ref="V24" r:id="rId46" display="https://www.ycombinator.com/companies/pivot-robotics"/>
    <hyperlink ref="U25" r:id="rId47" display="https://www.relari.ai"/>
    <hyperlink ref="V25" r:id="rId48" display="https://www.ycombinator.com/companies/relari"/>
    <hyperlink ref="U26" r:id="rId49" display="https://www.tuesdaylabs.com"/>
    <hyperlink ref="V26" r:id="rId50" display="https://www.ycombinator.com/companies/tuesday-labs"/>
    <hyperlink ref="U27" r:id="rId51" display="https://www.waddlelabs.ai"/>
    <hyperlink ref="V27" r:id="rId52" display="https://www.ycombinator.com/companies/waddle-labs"/>
    <hyperlink ref="U28" r:id="rId53" display="https://www.onerobot.io"/>
    <hyperlink ref="V28" r:id="rId54" display="https://www.ycombinator.com/companies/one-robot"/>
    <hyperlink ref="U29" r:id="rId55" display="https://runtime.si"/>
    <hyperlink ref="V29" r:id="rId56" display="https://www.ycombinator.com/companies/runtimesi"/>
    <hyperlink ref="U30" r:id="rId57" display="https://roboticscenter.ai"/>
    <hyperlink ref="V30" r:id="rId58" display="https://www.ycombinator.com/companies/deepaware"/>
    <hyperlink ref="U31" r:id="rId59" display="https://voltairlabs.com"/>
    <hyperlink ref="V31" r:id="rId60" display="https://www.ycombinator.com/companies/voltair"/>
    <hyperlink ref="U32" r:id="rId61" display="https://arlo1.com"/>
    <hyperlink ref="V32" r:id="rId62" display="https://www.ycombinator.com/companies/arlo-industries"/>
    <hyperlink ref="U33" r:id="rId63" display="https://www.tryoctapulse.com"/>
    <hyperlink ref="V33" r:id="rId64" display="https://www.ycombinator.com/companies/octapulse"/>
    <hyperlink ref="U34" r:id="rId65" display="https://www.edenrobotics.ai"/>
    <hyperlink ref="V34" r:id="rId66" display="https://www.ycombinator.com/companies/eden-robotics"/>
    <hyperlink ref="U35" r:id="rId67" display="https://dalus.io"/>
    <hyperlink ref="V35" r:id="rId68" display="https://www.ycombinator.com/companies/dalus"/>
    <hyperlink ref="U36" r:id="rId69" display="https://adam.new"/>
    <hyperlink ref="V36" r:id="rId70" display="https://www.ycombinator.com/companies/adam"/>
    <hyperlink ref="U37" r:id="rId71" display="https://outerport.com"/>
    <hyperlink ref="V37" r:id="rId72" display="https://www.ycombinator.com/companies/outerport"/>
    <hyperlink ref="U38" r:id="rId73" display="https://simantic.com"/>
    <hyperlink ref="V38" r:id="rId74" display="https://www.ycombinator.com/companies/simantic"/>
    <hyperlink ref="U39" r:id="rId75" display="https://chargerobotics.com"/>
    <hyperlink ref="V39" r:id="rId76" display="https://www.ycombinator.com/companies/charge-robotics"/>
    <hyperlink ref="U40" r:id="rId77" display="https://runcopycat.com"/>
    <hyperlink ref="V40" r:id="rId78" display="https://www.ycombinator.com/companies/copycat-ai"/>
    <hyperlink ref="U41" r:id="rId79" display="https://tryasimov.ai"/>
    <hyperlink ref="V41" r:id="rId80" display="https://www.ycombinator.com/companies/asimov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7" t="s">
        <v>529</v>
      </c>
      <c r="B1" s="7" t="s">
        <v>530</v>
      </c>
    </row>
    <row r="2" customFormat="false" ht="15" hidden="false" customHeight="false" outlineLevel="0" collapsed="false">
      <c r="A2" s="8" t="s">
        <v>531</v>
      </c>
      <c r="B2" s="8" t="n">
        <f aca="false">COUNTA(Tracker!C2:C41)</f>
        <v>40</v>
      </c>
    </row>
    <row r="3" customFormat="false" ht="15" hidden="false" customHeight="false" outlineLevel="0" collapsed="false">
      <c r="A3" s="8" t="s">
        <v>532</v>
      </c>
      <c r="B3" s="8" t="n">
        <f aca="false">COUNTIF(Tracker!N2:N41,"Waiting on build")</f>
        <v>0</v>
      </c>
    </row>
    <row r="4" customFormat="false" ht="15" hidden="false" customHeight="false" outlineLevel="0" collapsed="false">
      <c r="A4" s="8" t="s">
        <v>331</v>
      </c>
      <c r="B4" s="8" t="n">
        <f aca="false">COUNTIF(Tracker!N2:N41,"Ready to review")</f>
        <v>20</v>
      </c>
    </row>
    <row r="5" customFormat="false" ht="15" hidden="false" customHeight="false" outlineLevel="0" collapsed="false">
      <c r="A5" s="8" t="s">
        <v>533</v>
      </c>
      <c r="B5" s="8" t="n">
        <f aca="false">COUNTIF(Tracker!N2:N41,"Verified")</f>
        <v>0</v>
      </c>
    </row>
    <row r="6" customFormat="false" ht="15" hidden="false" customHeight="false" outlineLevel="0" collapsed="false">
      <c r="A6" s="8" t="s">
        <v>39</v>
      </c>
      <c r="B6" s="8" t="n">
        <f aca="false">COUNTIF(Tracker!N2:N41,"Sent")</f>
        <v>19</v>
      </c>
    </row>
    <row r="7" customFormat="false" ht="15" hidden="false" customHeight="false" outlineLevel="0" collapsed="false">
      <c r="A7" s="8" t="s">
        <v>534</v>
      </c>
      <c r="B7" s="8" t="n">
        <f aca="false">COUNTIF(Tracker!N2:N41,"Followed up")</f>
        <v>0</v>
      </c>
    </row>
    <row r="8" customFormat="false" ht="15" hidden="false" customHeight="false" outlineLevel="0" collapsed="false">
      <c r="A8" s="8" t="s">
        <v>55</v>
      </c>
      <c r="B8" s="8" t="n">
        <f aca="false">COUNTIF(Tracker!N2:N41,"Replied")</f>
        <v>1</v>
      </c>
    </row>
    <row r="9" customFormat="false" ht="15" hidden="false" customHeight="false" outlineLevel="0" collapsed="false">
      <c r="A9" s="8" t="s">
        <v>535</v>
      </c>
      <c r="B9" s="8" t="n">
        <f aca="false">COUNTIF(Tracker!N2:N41,"Call scheduled")</f>
        <v>0</v>
      </c>
    </row>
    <row r="10" customFormat="false" ht="15" hidden="false" customHeight="false" outlineLevel="0" collapsed="false">
      <c r="A10" s="8" t="s">
        <v>536</v>
      </c>
      <c r="B10" s="8" t="n">
        <f aca="false">COUNTIF(Tracker!N2:N41,"No reply")</f>
        <v>0</v>
      </c>
    </row>
    <row r="11" customFormat="false" ht="15" hidden="false" customHeight="false" outlineLevel="0" collapsed="false">
      <c r="A11" s="8" t="s">
        <v>537</v>
      </c>
      <c r="B11" s="8" t="n">
        <f aca="false">COUNTIF(Tracker!N2:N41,"Skip")</f>
        <v>0</v>
      </c>
    </row>
    <row r="12" customFormat="false" ht="15" hidden="false" customHeight="false" outlineLevel="0" collapsed="false">
      <c r="A12" s="8"/>
      <c r="B12" s="8"/>
    </row>
    <row r="13" customFormat="false" ht="15" hidden="false" customHeight="false" outlineLevel="0" collapsed="false">
      <c r="A13" s="8" t="s">
        <v>538</v>
      </c>
      <c r="B13" s="8" t="n">
        <f aca="false">COUNTIF(Tracker!D2:D41,"A")</f>
        <v>6</v>
      </c>
    </row>
    <row r="14" customFormat="false" ht="15" hidden="false" customHeight="false" outlineLevel="0" collapsed="false">
      <c r="A14" s="8" t="s">
        <v>539</v>
      </c>
      <c r="B14" s="8" t="n">
        <f aca="false">COUNTIF(Tracker!D2:D41,"B")</f>
        <v>19</v>
      </c>
    </row>
    <row r="15" customFormat="false" ht="15" hidden="false" customHeight="false" outlineLevel="0" collapsed="false">
      <c r="A15" s="8" t="s">
        <v>540</v>
      </c>
      <c r="B15" s="8" t="n">
        <f aca="false">COUNTIF(Tracker!D2:D41,"C")</f>
        <v>15</v>
      </c>
    </row>
    <row r="16" customFormat="false" ht="15" hidden="false" customHeight="false" outlineLevel="0" collapsed="false">
      <c r="A16" s="8"/>
      <c r="B16" s="8"/>
    </row>
    <row r="17" customFormat="false" ht="15" hidden="false" customHeight="false" outlineLevel="0" collapsed="false">
      <c r="A17" s="8" t="s">
        <v>541</v>
      </c>
      <c r="B17" s="9" t="n">
        <f aca="false">IFERROR((B8+B9)/(B6+B7+B8+B9+B10),"-")</f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542</v>
      </c>
    </row>
    <row r="2" customFormat="false" ht="15" hidden="false" customHeight="false" outlineLevel="0" collapsed="false">
      <c r="A2" s="8" t="s">
        <v>543</v>
      </c>
    </row>
    <row r="3" customFormat="false" ht="15" hidden="false" customHeight="false" outlineLevel="0" collapsed="false">
      <c r="A3" s="8" t="s">
        <v>544</v>
      </c>
    </row>
    <row r="4" customFormat="false" ht="15" hidden="false" customHeight="false" outlineLevel="0" collapsed="false">
      <c r="A4" s="8" t="s">
        <v>545</v>
      </c>
    </row>
    <row r="5" customFormat="false" ht="15" hidden="false" customHeight="false" outlineLevel="0" collapsed="false">
      <c r="A5" s="8" t="s">
        <v>546</v>
      </c>
    </row>
    <row r="6" customFormat="false" ht="15" hidden="false" customHeight="false" outlineLevel="0" collapsed="false">
      <c r="A6" s="8" t="s">
        <v>547</v>
      </c>
    </row>
    <row r="7" customFormat="false" ht="15" hidden="false" customHeight="false" outlineLevel="0" collapsed="false">
      <c r="A7" s="8" t="s">
        <v>548</v>
      </c>
    </row>
    <row r="8" customFormat="false" ht="15" hidden="false" customHeight="false" outlineLevel="0" collapsed="false">
      <c r="A8" s="8" t="s">
        <v>549</v>
      </c>
    </row>
    <row r="9" customFormat="false" ht="15" hidden="false" customHeight="false" outlineLevel="0" collapsed="false">
      <c r="A9" s="8" t="s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2026-10-23T07:36:11Z</dcterms:created>
  <dc:creator>openpyxl</dc:creator>
  <dc:description/>
  <dc:language>en-US</dc:language>
  <cp:lastModifiedBy/>
  <dcterms:modified xsi:type="dcterms:W3CDTF">2026-10-23T07:36:12Z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